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Consultas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VISITADOS" sheetId="5" state="visible" r:id="rId5"/>
  </sheets>
  <definedNames>
    <definedName name="_xlnm._FilterDatabase" localSheetId="2" hidden="1">'Leads'!$A$1:$O$164</definedName>
    <definedName name="_xlnm.Print_Titles" localSheetId="2">'Leads'!$1:$1</definedName>
    <definedName name="_xlnm.Print_Area" localSheetId="2">'Leads'!$A$1:$O$164</definedName>
    <definedName name="_xlnm.Print_Area" localSheetId="3">'Resumen'!$A$1:$B$26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1F4E78"/>
      <sz val="11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sz val="11"/>
    </font>
    <font>
      <name val="Arial"/>
      <b val="1"/>
      <sz val="11"/>
    </font>
    <font>
      <name val="Arial"/>
      <b val="1"/>
      <sz val="12"/>
    </font>
    <font>
      <name val="Arial"/>
      <i val="1"/>
      <sz val="10"/>
    </font>
    <font>
      <name val="Arial"/>
      <b val="1"/>
      <color rgb="001B1D2B"/>
      <sz val="14"/>
    </font>
    <font>
      <name val="Arial"/>
      <i val="1"/>
      <color rgb="007A7F95"/>
      <sz val="10"/>
    </font>
    <font>
      <name val="Arial"/>
      <b val="1"/>
      <color rgb="001B1D2B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DE7"/>
      </patternFill>
    </fill>
    <fill>
      <patternFill patternType="solid">
        <fgColor rgb="00EFEA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6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15" fillId="0" borderId="0" pivotButton="0" quotePrefix="0" xfId="0"/>
    <xf numFmtId="0" fontId="16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Sistema de Leads — AniCare (Limpieza) — Panamá</t>
        </is>
      </c>
    </row>
    <row r="2">
      <c r="A2" s="2" t="inlineStr">
        <is>
          <t>Zonas prioritarias: Costa del Este · Santa María · Versalles PH1 · Reserva de Versalles · Versalles PH2</t>
        </is>
      </c>
    </row>
    <row r="4">
      <c r="A4" s="3" t="inlineStr">
        <is>
          <t>CÓMO FUNCIONA ESTE ARCHIVO</t>
        </is>
      </c>
    </row>
    <row r="5">
      <c r="A5" s="4" t="inlineStr">
        <is>
          <t>1. Ve a la pestaña 'Leads' y llena las columnas amarillas (esas son las que editas a mano). Las demás columnas son fórmulas automáticas: no las toques.</t>
        </is>
      </c>
    </row>
    <row r="6">
      <c r="A6" s="4" t="inlineStr">
        <is>
          <t>2. La columna 'Duplicado' te avisa en automático (SI/NO) si ya existe un negocio con el mismo nombre y misma zona.</t>
        </is>
      </c>
    </row>
    <row r="7">
      <c r="A7" s="4" t="inlineStr">
        <is>
          <t>3. La columna 'Correo válido' revisa que el correo tenga formato correcto (usuario@dominio.com). No confirma que el correo exista de verdad, solo que la sintaxis esté bien.</t>
        </is>
      </c>
    </row>
    <row r="8">
      <c r="A8" s="4" t="inlineStr">
        <is>
          <t>4. La columna 'Teléfono válido' revisa que el número tenga formato panameño (8 dígitos, con o sin guion, o con +507).</t>
        </is>
      </c>
    </row>
    <row r="9">
      <c r="A9" s="4" t="inlineStr">
        <is>
          <t>5. La pestaña 'Resumen' se actualiza sola: leads por zona, por tipo de negocio y cuántos están verificados.</t>
        </is>
      </c>
    </row>
    <row r="11">
      <c r="A11" s="3" t="inlineStr">
        <is>
          <t>DÓNDE CONSEGUIR LOS DATOS (gratis, sin programar)</t>
        </is>
      </c>
    </row>
    <row r="12">
      <c r="A12" s="4" t="inlineStr">
        <is>
          <t>• Google Maps: busca "PH [nombre]", "oficinas Costa del Este", "clínica Santa María", etc. Anota nombre, dirección y teléfono de la ficha del negocio.</t>
        </is>
      </c>
    </row>
    <row r="13">
      <c r="A13" s="4" t="inlineStr">
        <is>
          <t>• Sitio web del negocio (si tiene): entra a "Contacto" — ahí casi siempre está el correo real, más confiable que el de Google.</t>
        </is>
      </c>
    </row>
    <row r="14">
      <c r="A14" s="4" t="inlineStr">
        <is>
          <t>• Administradoras de PH / Residenciales: muchos PH en Panamá los administra una empresa. Busca "administradora PH Versalles Panamá" — un solo contacto puede abrirte varios PH del sector.</t>
        </is>
      </c>
    </row>
    <row r="15">
      <c r="A15" s="4" t="inlineStr">
        <is>
          <t>• Cámara Panameña de la Construcción (CAPAC) y Cámara de Comercio de Panamá: directorios de empresas y administradoras.</t>
        </is>
      </c>
    </row>
    <row r="16">
      <c r="A16" s="4" t="inlineStr">
        <is>
          <t>• Autoridad de Turismo de Panamá (ATP): listado oficial de hoteles registrados, más confiable que Google para ese rubro.</t>
        </is>
      </c>
    </row>
    <row r="17">
      <c r="A17" s="4" t="inlineStr">
        <is>
          <t>• LinkedIn: busca "Property Manager" o "Administrador" + nombre del PH/residencial.</t>
        </is>
      </c>
    </row>
    <row r="18">
      <c r="A18" s="4" t="inlineStr">
        <is>
          <t>• Recorridos presenciales (lo más efectivo y barato): al visitar Costa del Este o Versalles, toma foto del rótulo de administración/portería.</t>
        </is>
      </c>
    </row>
    <row r="20">
      <c r="A20" s="3" t="inlineStr">
        <is>
          <t>CÓMO VALIDAR ANTES DE LLAMAR</t>
        </is>
      </c>
    </row>
    <row r="21">
      <c r="A21" s="4" t="inlineStr">
        <is>
          <t>• Confirma el teléfono por WhatsApp Web antes de llamar (nombre/foto de negocio es buena señal de número activo).</t>
        </is>
      </c>
    </row>
    <row r="22">
      <c r="A22" s="4" t="inlineStr">
        <is>
          <t>• Antes de enviar correos en volumen, usa un verificador gratuito (ej. NeverBounce, ZeroBounce, planes de prueba gratis) para no dañar tu reputación de envío.</t>
        </is>
      </c>
    </row>
    <row r="23">
      <c r="A23" s="4" t="inlineStr">
        <is>
          <t>• Marca en 'Estado de verificación' si ya confirmaste el dato en persona/teléfono o si sigue "Sin verificar".</t>
        </is>
      </c>
    </row>
    <row r="25">
      <c r="A25" s="3" t="inlineStr">
        <is>
          <t>SOBRE UN SISTEMA AUTOMATIZADO MÁS ADELANTE</t>
        </is>
      </c>
    </row>
    <row r="26">
      <c r="A26" s="4" t="inlineStr">
        <is>
          <t>Cuando tengas más presupuesto y volumen (miles de leads), vale la pena automatizar: un script que consulte Google Places API y OpenStreetMap para Panamá, cruce contra los sitios web de cada negocio, y aplique estas mismas reglas de validación y de-duplicado. Por ahora, con cientos de leads, este archivo manual-asistido es más rápido y sin costo.</t>
        </is>
      </c>
    </row>
  </sheetData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30" customWidth="1" min="3" max="3"/>
    <col width="14" customWidth="1" min="4" max="4"/>
  </cols>
  <sheetData>
    <row r="1">
      <c r="A1" s="10" t="inlineStr">
        <is>
          <t>Consultas de Búsqueda — Repite esto cada vez que quieras más leads</t>
        </is>
      </c>
    </row>
    <row r="2">
      <c r="A2" s="11" t="inlineStr">
        <is>
          <t>Copia y pega estas frases en el chat con Claude (o en Google) para pedir más negocios de cada zona/tipo. Marca 'Hecho' cuando ya la uses.</t>
        </is>
      </c>
    </row>
    <row r="4" ht="26" customHeight="1">
      <c r="A4" s="16" t="inlineStr">
        <is>
          <t>Zona</t>
        </is>
      </c>
      <c r="B4" s="16" t="inlineStr">
        <is>
          <t>Consulta sugerida</t>
        </is>
      </c>
      <c r="C4" s="16" t="inlineStr">
        <is>
          <t>Tipo de negocio</t>
        </is>
      </c>
      <c r="D4" s="16" t="inlineStr">
        <is>
          <t>Estado</t>
        </is>
      </c>
    </row>
    <row r="5" ht="30" customHeight="1">
      <c r="A5" s="8" t="inlineStr">
        <is>
          <t>Costa del Este</t>
        </is>
      </c>
      <c r="B5" s="17" t="inlineStr">
        <is>
          <t>Busca más oficinas corporativas y edificios en Costa del Este Panamá con teléfono y correo de administración</t>
        </is>
      </c>
      <c r="C5" s="8" t="inlineStr">
        <is>
          <t>Oficina</t>
        </is>
      </c>
      <c r="D5" s="8" t="inlineStr">
        <is>
          <t>Pendiente</t>
        </is>
      </c>
    </row>
    <row r="6" ht="30" customHeight="1">
      <c r="A6" s="8" t="inlineStr">
        <is>
          <t>Costa del Este / Santa María</t>
        </is>
      </c>
      <c r="B6" s="17" t="inlineStr">
        <is>
          <t>Busca clínicas, laboratorios y consultorios médicos en Santa María y Costa del Este Panamá con contacto</t>
        </is>
      </c>
      <c r="C6" s="8" t="inlineStr">
        <is>
          <t>Clínica</t>
        </is>
      </c>
      <c r="D6" s="8" t="inlineStr">
        <is>
          <t>Pendiente</t>
        </is>
      </c>
    </row>
    <row r="7" ht="30" customHeight="1">
      <c r="A7" s="8" t="inlineStr">
        <is>
          <t>Versalles PH1</t>
        </is>
      </c>
      <c r="B7" s="17" t="inlineStr">
        <is>
          <t>Busca administradoras o juntas directivas de PH en el sector Versalles (Torres de Versalles I) Panamá</t>
        </is>
      </c>
      <c r="C7" s="8" t="inlineStr">
        <is>
          <t>PH/Residencial</t>
        </is>
      </c>
      <c r="D7" s="8" t="inlineStr">
        <is>
          <t>Pendiente</t>
        </is>
      </c>
    </row>
    <row r="8" ht="30" customHeight="1">
      <c r="A8" s="8" t="inlineStr">
        <is>
          <t>Versalles PH2 / Torres de Versalles II</t>
        </is>
      </c>
      <c r="B8" s="17" t="inlineStr">
        <is>
          <t>Busca administración o contacto de Torres de Versalles II en Juan Díaz Panamá</t>
        </is>
      </c>
      <c r="C8" s="8" t="inlineStr">
        <is>
          <t>PH/Residencial</t>
        </is>
      </c>
      <c r="D8" s="8" t="inlineStr">
        <is>
          <t>Pendiente</t>
        </is>
      </c>
    </row>
    <row r="9" ht="30" customHeight="1">
      <c r="A9" s="8" t="inlineStr">
        <is>
          <t>Reserva de Versalles</t>
        </is>
      </c>
      <c r="B9" s="17" t="inlineStr">
        <is>
          <t>Busca administración del PH Reserva de Versalles ya construido (no oficina de ventas) en Panamá</t>
        </is>
      </c>
      <c r="C9" s="8" t="inlineStr">
        <is>
          <t>PH/Residencial</t>
        </is>
      </c>
      <c r="D9" s="8" t="inlineStr">
        <is>
          <t>Pendiente</t>
        </is>
      </c>
    </row>
    <row r="10" ht="30" customHeight="1">
      <c r="A10" s="8" t="inlineStr">
        <is>
          <t>Ciudad de Panamá (general)</t>
        </is>
      </c>
      <c r="B10" s="17" t="inlineStr">
        <is>
          <t>Busca administradoras de PH en Panamá que gestionen varios edificios, con teléfono y correo</t>
        </is>
      </c>
      <c r="C10" s="8" t="inlineStr">
        <is>
          <t>Otro</t>
        </is>
      </c>
      <c r="D10" s="8" t="inlineStr">
        <is>
          <t>Pendiente</t>
        </is>
      </c>
    </row>
    <row r="11" ht="30" customHeight="1">
      <c r="A11" s="8" t="inlineStr">
        <is>
          <t>Ciudad de Panamá (general)</t>
        </is>
      </c>
      <c r="B11" s="17" t="inlineStr">
        <is>
          <t>Busca hoteles boutique o de negocios en Ciudad de Panamá cerca de Costa del Este con teléfono</t>
        </is>
      </c>
      <c r="C11" s="8" t="inlineStr">
        <is>
          <t>Hotel</t>
        </is>
      </c>
      <c r="D11" s="8" t="inlineStr">
        <is>
          <t>Pendiente</t>
        </is>
      </c>
    </row>
    <row r="12" ht="30" customHeight="1">
      <c r="A12" s="8" t="inlineStr">
        <is>
          <t>Costa del Este</t>
        </is>
      </c>
      <c r="B12" s="17" t="inlineStr">
        <is>
          <t>Busca clínicas dentales, spas o consultorios privados en Costa del Este Panamá con contacto</t>
        </is>
      </c>
      <c r="C12" s="8" t="inlineStr">
        <is>
          <t>Clínica</t>
        </is>
      </c>
      <c r="D12" s="8" t="inlineStr">
        <is>
          <t>Pendiente</t>
        </is>
      </c>
    </row>
    <row r="15">
      <c r="A15" s="13" t="inlineStr">
        <is>
          <t>Cómo pedir la próxima tanda:</t>
        </is>
      </c>
    </row>
    <row r="16" ht="45" customHeight="1">
      <c r="A16" s="18" t="inlineStr">
        <is>
          <t>Dile a Claude: "busca más leads de [tipo] en [zona] y cárgalos en el Excel", usando una fila de esta tabla como referencia. Claude buscará, verificará (reseñas, sitio web oficial) y los añadirá a la pestaña Leads sin borrar lo que ya tienes ni crear duplicados.</t>
        </is>
      </c>
    </row>
  </sheetData>
  <mergeCells count="3">
    <mergeCell ref="A1:D1"/>
    <mergeCell ref="A16:D16"/>
    <mergeCell ref="A2:D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20" customWidth="1" min="4" max="4"/>
    <col width="30" customWidth="1" min="5" max="5"/>
    <col width="14" customWidth="1" min="6" max="6"/>
    <col width="24" customWidth="1" min="7" max="7"/>
    <col width="22" customWidth="1" min="8" max="8"/>
    <col width="18" customWidth="1" min="9" max="9"/>
    <col width="18" customWidth="1" min="10" max="10"/>
    <col width="12" customWidth="1" min="11" max="11"/>
    <col width="12" customWidth="1" min="12" max="12"/>
    <col width="12" customWidth="1" min="13" max="13"/>
    <col width="28" customWidth="1" min="14" max="14"/>
  </cols>
  <sheetData>
    <row r="1" ht="32" customHeight="1">
      <c r="A1" s="5" t="inlineStr">
        <is>
          <t>ID</t>
        </is>
      </c>
      <c r="B1" s="5" t="inlineStr">
        <is>
          <t>Nombre del negocio</t>
        </is>
      </c>
      <c r="C1" s="5" t="inlineStr">
        <is>
          <t>Tipo</t>
        </is>
      </c>
      <c r="D1" s="5" t="inlineStr">
        <is>
          <t>Zona</t>
        </is>
      </c>
      <c r="E1" s="5" t="inlineStr">
        <is>
          <t>Dirección</t>
        </is>
      </c>
      <c r="F1" s="5" t="inlineStr">
        <is>
          <t>Teléfono</t>
        </is>
      </c>
      <c r="G1" s="5" t="inlineStr">
        <is>
          <t>Correo</t>
        </is>
      </c>
      <c r="H1" s="5" t="inlineStr">
        <is>
          <t>Sitio web</t>
        </is>
      </c>
      <c r="I1" s="5" t="inlineStr">
        <is>
          <t>Contacto (nombre)</t>
        </is>
      </c>
      <c r="J1" s="5" t="inlineStr">
        <is>
          <t>Visita AC</t>
        </is>
      </c>
      <c r="K1" s="5" t="inlineStr">
        <is>
          <t>Estado de verificación</t>
        </is>
      </c>
      <c r="L1" s="5" t="inlineStr">
        <is>
          <t>Duplicado</t>
        </is>
      </c>
      <c r="M1" s="5" t="inlineStr">
        <is>
          <t>Correo válido</t>
        </is>
      </c>
      <c r="N1" s="5" t="inlineStr">
        <is>
          <t>Teléfono válido</t>
        </is>
      </c>
      <c r="O1" s="5" t="inlineStr">
        <is>
          <t>Notas</t>
        </is>
      </c>
    </row>
    <row r="2">
      <c r="A2" s="6">
        <f>IF(B2="","",ROW()-1)</f>
        <v/>
      </c>
      <c r="B2" s="7" t="inlineStr">
        <is>
          <t>Clinilab Santa María</t>
        </is>
      </c>
      <c r="C2" s="7" t="inlineStr">
        <is>
          <t>Clínica</t>
        </is>
      </c>
      <c r="D2" s="7" t="inlineStr">
        <is>
          <t>Costa del Este</t>
        </is>
      </c>
      <c r="E2" s="7" t="inlineStr">
        <is>
          <t>Plaza Santa María (Chanis), Panamá</t>
        </is>
      </c>
      <c r="F2" s="7" t="inlineStr">
        <is>
          <t>+507 310-0680</t>
        </is>
      </c>
      <c r="G2" s="7" t="inlineStr">
        <is>
          <t>info@clinilabpanama.com</t>
        </is>
      </c>
      <c r="H2" s="7" t="inlineStr">
        <is>
          <t>clinilabpanama.com</t>
        </is>
      </c>
      <c r="I2" s="7" t="inlineStr"/>
      <c r="J2" t="inlineStr">
        <is>
          <t>No</t>
        </is>
      </c>
      <c r="K2" s="7" t="inlineStr">
        <is>
          <t>Sin verificar</t>
        </is>
      </c>
      <c r="L2" s="8">
        <f>IF(B2="","",IF(COUNTIFS($B$2:B2,B2,$D$2:D2,D2)&gt;1,"SI","NO"))</f>
        <v/>
      </c>
      <c r="M2" s="8">
        <f>IF(G2="","",IF(AND(ISNUMBER(SEARCH("@",G2)),ISNUMBER(SEARCH(".",G2,SEARCH("@",G2))),LEN(G2)-LEN(SUBSTITUTE(G2,"@",""))=1,MID(G2,SEARCH("@",G2)+1,1)&lt;&gt;".",RIGHT(G2,1)&lt;&gt;"."),"Válido","Revisar"))</f>
        <v/>
      </c>
      <c r="N2" s="8">
        <f>IF(F2="","",IF(LEN(SUBSTITUTE(SUBSTITUTE(SUBSTITUTE(SUBSTITUTE(F2,"+507",""),"-",""),"(",""),")",""))=8,"Válido","Revisar"))</f>
        <v/>
      </c>
      <c r="O2" s="7" t="inlineStr">
        <is>
          <t>Submercado Santa María, dentro del corredor de Costa del Este. Laboratorio clínico y medicina general. Horario: L-V 6am-7pm, Sáb 7am-3pm.</t>
        </is>
      </c>
    </row>
    <row r="3">
      <c r="A3" s="6">
        <f>IF(B3="","",ROW()-1)</f>
        <v/>
      </c>
      <c r="B3" s="7" t="inlineStr">
        <is>
          <t>Hospital Pacífica Salud Costa del Este</t>
        </is>
      </c>
      <c r="C3" s="7" t="inlineStr">
        <is>
          <t>Clínica</t>
        </is>
      </c>
      <c r="D3" s="7" t="inlineStr">
        <is>
          <t>Costa del Este</t>
        </is>
      </c>
      <c r="E3" s="7" t="inlineStr">
        <is>
          <t>Ave. Costa del Sol / Town Center, Costa del Este, Panamá</t>
        </is>
      </c>
      <c r="F3" s="7" t="inlineStr">
        <is>
          <t>(507) 204-8000</t>
        </is>
      </c>
      <c r="G3" s="7" t="inlineStr">
        <is>
          <t>info@pacificasalud.com</t>
        </is>
      </c>
      <c r="H3" s="7" t="inlineStr">
        <is>
          <t>pacificasalud.com</t>
        </is>
      </c>
      <c r="I3" s="7" t="inlineStr"/>
      <c r="J3" t="inlineStr">
        <is>
          <t>No</t>
        </is>
      </c>
      <c r="K3" s="7" t="inlineStr">
        <is>
          <t>Sin verificar</t>
        </is>
      </c>
      <c r="L3" s="8">
        <f>IF(B3="","",IF(COUNTIFS($B$2:B3,B3,$D$2:D3,D3)&gt;1,"SI","NO"))</f>
        <v/>
      </c>
      <c r="M3" s="8">
        <f>IF(G3="","",IF(AND(ISNUMBER(SEARCH("@",G3)),ISNUMBER(SEARCH(".",G3,SEARCH("@",G3))),LEN(G3)-LEN(SUBSTITUTE(G3,"@",""))=1,MID(G3,SEARCH("@",G3)+1,1)&lt;&gt;".",RIGHT(G3,1)&lt;&gt;"."),"Válido","Revisar"))</f>
        <v/>
      </c>
      <c r="N3" s="8">
        <f>IF(F3="","",IF(LEN(SUBSTITUTE(SUBSTITUTE(SUBSTITUTE(SUBSTITUTE(F3,"+507",""),"-",""),"(",""),")",""))=8,"Válido","Revisar"))</f>
        <v/>
      </c>
      <c r="O3" s="7" t="inlineStr">
        <is>
          <t>Hospital privado afiliado a Johns Hopkins Medicine International.</t>
        </is>
      </c>
    </row>
    <row r="4">
      <c r="A4" s="6">
        <f>IF(B4="","",ROW()-1)</f>
        <v/>
      </c>
      <c r="B4" s="7" t="inlineStr">
        <is>
          <t>Panama Diagnostic Center - Lab Costa del Este</t>
        </is>
      </c>
      <c r="C4" s="7" t="inlineStr">
        <is>
          <t>Clínica</t>
        </is>
      </c>
      <c r="D4" s="7" t="inlineStr">
        <is>
          <t>Costa del Este</t>
        </is>
      </c>
      <c r="E4" s="7" t="inlineStr">
        <is>
          <t>Plaza Ocean Drive, planta baja, junto a torre Aseguradora Ancón, Costa del Este</t>
        </is>
      </c>
      <c r="F4" s="7" t="inlineStr">
        <is>
          <t>WhatsApp 6285-7181</t>
        </is>
      </c>
      <c r="G4" s="7" t="inlineStr"/>
      <c r="H4" s="7" t="inlineStr">
        <is>
          <t>clinicapdc.com</t>
        </is>
      </c>
      <c r="I4" s="7" t="inlineStr"/>
      <c r="J4" t="inlineStr">
        <is>
          <t>No</t>
        </is>
      </c>
      <c r="K4" s="7" t="inlineStr">
        <is>
          <t>Sin verificar</t>
        </is>
      </c>
      <c r="L4" s="8">
        <f>IF(B4="","",IF(COUNTIFS($B$2:B4,B4,$D$2:D4,D4)&gt;1,"SI","NO"))</f>
        <v/>
      </c>
      <c r="M4" s="8">
        <f>IF(G4="","",IF(AND(ISNUMBER(SEARCH("@",G4)),ISNUMBER(SEARCH(".",G4,SEARCH("@",G4))),LEN(G4)-LEN(SUBSTITUTE(G4,"@",""))=1,MID(G4,SEARCH("@",G4)+1,1)&lt;&gt;".",RIGHT(G4,1)&lt;&gt;"."),"Válido","Revisar"))</f>
        <v/>
      </c>
      <c r="N4" s="8">
        <f>IF(F4="","",IF(LEN(SUBSTITUTE(SUBSTITUTE(SUBSTITUTE(SUBSTITUTE(F4,"+507",""),"-",""),"(",""),")",""))=8,"Válido","Revisar"))</f>
        <v/>
      </c>
      <c r="O4" s="7" t="inlineStr">
        <is>
          <t>Medicina general, laboratorio y urgencias. Contacto principal es WhatsApp, no teléfono fijo.</t>
        </is>
      </c>
    </row>
    <row r="5">
      <c r="A5" s="6">
        <f>IF(B5="","",ROW()-1)</f>
        <v/>
      </c>
      <c r="B5" s="7" t="inlineStr">
        <is>
          <t>Plaza del Este</t>
        </is>
      </c>
      <c r="C5" s="7" t="inlineStr">
        <is>
          <t>Oficina</t>
        </is>
      </c>
      <c r="D5" s="7" t="inlineStr">
        <is>
          <t>Costa del Este</t>
        </is>
      </c>
      <c r="E5" s="7" t="inlineStr">
        <is>
          <t>Ave. Paseo del Mar, frente a Town Center, Costa del Este, Panamá</t>
        </is>
      </c>
      <c r="F5" s="7" t="inlineStr">
        <is>
          <t>+507 214-2376</t>
        </is>
      </c>
      <c r="G5" s="7" t="inlineStr"/>
      <c r="H5" s="7" t="inlineStr">
        <is>
          <t>plazadeleste.com</t>
        </is>
      </c>
      <c r="I5" s="7" t="inlineStr"/>
      <c r="J5" t="inlineStr">
        <is>
          <t>No</t>
        </is>
      </c>
      <c r="K5" s="7" t="inlineStr">
        <is>
          <t>Sin verificar</t>
        </is>
      </c>
      <c r="L5" s="8">
        <f>IF(B5="","",IF(COUNTIFS($B$2:B5,B5,$D$2:D5,D5)&gt;1,"SI","NO"))</f>
        <v/>
      </c>
      <c r="M5" s="8">
        <f>IF(G5="","",IF(AND(ISNUMBER(SEARCH("@",G5)),ISNUMBER(SEARCH(".",G5,SEARCH("@",G5))),LEN(G5)-LEN(SUBSTITUTE(G5,"@",""))=1,MID(G5,SEARCH("@",G5)+1,1)&lt;&gt;".",RIGHT(G5,1)&lt;&gt;"."),"Válido","Revisar"))</f>
        <v/>
      </c>
      <c r="N5" s="8">
        <f>IF(F5="","",IF(LEN(SUBSTITUTE(SUBSTITUTE(SUBSTITUTE(SUBSTITUTE(F5,"+507",""),"-",""),"(",""),")",""))=8,"Válido","Revisar"))</f>
        <v/>
      </c>
      <c r="O5" s="7" t="inlineStr">
        <is>
          <t>Edificio corporativo de 20 pisos. El correo hallado en la búsqueda salió ilegible — confirmar vía sitio web.</t>
        </is>
      </c>
    </row>
    <row r="6">
      <c r="A6" s="6">
        <f>IF(B6="","",ROW()-1)</f>
        <v/>
      </c>
      <c r="B6" s="7" t="inlineStr">
        <is>
          <t>Santa María Plaza (administración)</t>
        </is>
      </c>
      <c r="C6" s="7" t="inlineStr">
        <is>
          <t>Oficina</t>
        </is>
      </c>
      <c r="D6" s="7" t="inlineStr">
        <is>
          <t>Costa del Este</t>
        </is>
      </c>
      <c r="E6" s="7" t="inlineStr">
        <is>
          <t>Entrada de Santa María Business District, salida Corredor Sur, Chanis/Costa del Este</t>
        </is>
      </c>
      <c r="F6" s="7" t="inlineStr">
        <is>
          <t>+507 6268-5993</t>
        </is>
      </c>
      <c r="G6" s="7" t="inlineStr">
        <is>
          <t>administracion@santamariaplaza.com</t>
        </is>
      </c>
      <c r="H6" s="7" t="inlineStr">
        <is>
          <t>santamariaplaza.com</t>
        </is>
      </c>
      <c r="I6" s="7" t="inlineStr"/>
      <c r="J6" t="inlineStr">
        <is>
          <t>No</t>
        </is>
      </c>
      <c r="K6" s="7" t="inlineStr">
        <is>
          <t>Sin verificar</t>
        </is>
      </c>
      <c r="L6" s="8">
        <f>IF(B6="","",IF(COUNTIFS($B$2:B6,B6,$D$2:D6,D6)&gt;1,"SI","NO"))</f>
        <v/>
      </c>
      <c r="M6" s="8">
        <f>IF(G6="","",IF(AND(ISNUMBER(SEARCH("@",G6)),ISNUMBER(SEARCH(".",G6,SEARCH("@",G6))),LEN(G6)-LEN(SUBSTITUTE(G6,"@",""))=1,MID(G6,SEARCH("@",G6)+1,1)&lt;&gt;".",RIGHT(G6,1)&lt;&gt;"."),"Válido","Revisar"))</f>
        <v/>
      </c>
      <c r="N6" s="8">
        <f>IF(F6="","",IF(LEN(SUBSTITUTE(SUBSTITUTE(SUBSTITUTE(SUBSTITUTE(F6,"+507",""),"-",""),"(",""),")",""))=8,"Válido","Revisar"))</f>
        <v/>
      </c>
      <c r="O6" s="7" t="inlineStr">
        <is>
          <t>Submercado Santa María, dentro del corredor de Costa del Este. 22 locales en planta baja y 21 en nivel 100. Buen punto para ofrecer limpieza a locales comerciales del área.</t>
        </is>
      </c>
    </row>
    <row r="7">
      <c r="A7" s="6">
        <f>IF(B7="","",ROW()-1)</f>
        <v/>
      </c>
      <c r="B7" s="7" t="inlineStr">
        <is>
          <t>The Santa Maria, A Luxury Collection Hotel &amp; Golf Resort</t>
        </is>
      </c>
      <c r="C7" s="7" t="inlineStr">
        <is>
          <t>Hotel</t>
        </is>
      </c>
      <c r="D7" s="7" t="inlineStr">
        <is>
          <t>Costa del Este</t>
        </is>
      </c>
      <c r="E7" s="7" t="inlineStr">
        <is>
          <t>Calle 125 Este, Panamá</t>
        </is>
      </c>
      <c r="F7" s="7" t="inlineStr">
        <is>
          <t>+507 304-5555</t>
        </is>
      </c>
      <c r="G7" s="7" t="inlineStr">
        <is>
          <t>ssolis@thesantamariahotel.com</t>
        </is>
      </c>
      <c r="H7" s="7" t="inlineStr">
        <is>
          <t>marriott.com</t>
        </is>
      </c>
      <c r="I7" s="7" t="inlineStr"/>
      <c r="J7" t="inlineStr">
        <is>
          <t>No</t>
        </is>
      </c>
      <c r="K7" s="7" t="inlineStr">
        <is>
          <t>Sin verificar</t>
        </is>
      </c>
      <c r="L7" s="8">
        <f>IF(B7="","",IF(COUNTIFS($B$2:B7,B7,$D$2:D7,D7)&gt;1,"SI","NO"))</f>
        <v/>
      </c>
      <c r="M7" s="8">
        <f>IF(G7="","",IF(AND(ISNUMBER(SEARCH("@",G7)),ISNUMBER(SEARCH(".",G7,SEARCH("@",G7))),LEN(G7)-LEN(SUBSTITUTE(G7,"@",""))=1,MID(G7,SEARCH("@",G7)+1,1)&lt;&gt;".",RIGHT(G7,1)&lt;&gt;"."),"Válido","Revisar"))</f>
        <v/>
      </c>
      <c r="N7" s="8">
        <f>IF(F7="","",IF(LEN(SUBSTITUTE(SUBSTITUTE(SUBSTITUTE(SUBSTITUTE(F7,"+507",""),"-",""),"(",""),")",""))=8,"Válido","Revisar"))</f>
        <v/>
      </c>
      <c r="O7" s="7" t="inlineStr">
        <is>
          <t>Submercado Santa María, dentro del corredor de Costa del Este. También WhatsApp +507 6575-2289. Primer hotel Luxury Collection en Panamá, con campo de golf.</t>
        </is>
      </c>
    </row>
    <row r="8">
      <c r="A8" s="6">
        <f>IF(B8="","",ROW()-1)</f>
        <v/>
      </c>
      <c r="B8" s="7" t="inlineStr">
        <is>
          <t>Town Center Costa del Este (oficinas y academias)</t>
        </is>
      </c>
      <c r="C8" s="7" t="inlineStr">
        <is>
          <t>Oficina</t>
        </is>
      </c>
      <c r="D8" s="7" t="inlineStr">
        <is>
          <t>Costa del Este</t>
        </is>
      </c>
      <c r="E8" s="7" t="inlineStr">
        <is>
          <t>Av. Paseo del Mar, Costa del Este, Panamá</t>
        </is>
      </c>
      <c r="F8" s="7" t="inlineStr">
        <is>
          <t>300-8696</t>
        </is>
      </c>
      <c r="G8" s="7" t="inlineStr">
        <is>
          <t>mercadeo@towncenter.com.pa</t>
        </is>
      </c>
      <c r="H8" s="7" t="inlineStr">
        <is>
          <t>towncenter.com.pa</t>
        </is>
      </c>
      <c r="I8" s="7" t="inlineStr"/>
      <c r="J8" t="inlineStr">
        <is>
          <t>No</t>
        </is>
      </c>
      <c r="K8" s="7" t="inlineStr">
        <is>
          <t>Sin verificar</t>
        </is>
      </c>
      <c r="L8" s="8">
        <f>IF(B8="","",IF(COUNTIFS($B$2:B8,B8,$D$2:D8,D8)&gt;1,"SI","NO"))</f>
        <v/>
      </c>
      <c r="M8" s="8">
        <f>IF(G8="","",IF(AND(ISNUMBER(SEARCH("@",G8)),ISNUMBER(SEARCH(".",G8,SEARCH("@",G8))),LEN(G8)-LEN(SUBSTITUTE(G8,"@",""))=1,MID(G8,SEARCH("@",G8)+1,1)&lt;&gt;".",RIGHT(G8,1)&lt;&gt;"."),"Válido","Revisar"))</f>
        <v/>
      </c>
      <c r="N8" s="8">
        <f>IF(F8="","",IF(LEN(SUBSTITUTE(SUBSTITUTE(SUBSTITUTE(SUBSTITUTE(F8,"+507",""),"-",""),"(",""),")",""))=8,"Válido","Revisar"))</f>
        <v/>
      </c>
      <c r="O8" s="7" t="inlineStr">
        <is>
          <t>Correo es de mercadeo del centro comercial; para el área de oficinas confirmar contacto específico.</t>
        </is>
      </c>
    </row>
    <row r="9">
      <c r="A9" s="6">
        <f>IF(B9="","",ROW()-1)</f>
        <v/>
      </c>
      <c r="B9" s="7" t="inlineStr">
        <is>
          <t>ADEMSA (administradora de PH)</t>
        </is>
      </c>
      <c r="C9" s="7" t="inlineStr">
        <is>
          <t>Otro</t>
        </is>
      </c>
      <c r="D9" s="7" t="inlineStr">
        <is>
          <t>Otra zona Ciudad de Panamá</t>
        </is>
      </c>
      <c r="E9" s="7" t="inlineStr">
        <is>
          <t>Punta Pacífica, PH Oceanía Business Plaza, Panamá</t>
        </is>
      </c>
      <c r="F9" s="7" t="inlineStr">
        <is>
          <t>386-5040 / 6201-8936</t>
        </is>
      </c>
      <c r="G9" s="7" t="inlineStr">
        <is>
          <t>info@admemp.com</t>
        </is>
      </c>
      <c r="H9" s="7" t="inlineStr">
        <is>
          <t>ademsa.com.pa</t>
        </is>
      </c>
      <c r="I9" s="7" t="inlineStr"/>
      <c r="J9" t="inlineStr">
        <is>
          <t>No</t>
        </is>
      </c>
      <c r="K9" s="7" t="inlineStr">
        <is>
          <t>Sin verificar</t>
        </is>
      </c>
      <c r="L9" s="8">
        <f>IF(B9="","",IF(COUNTIFS($B$2:B9,B9,$D$2:D9,D9)&gt;1,"SI","NO"))</f>
        <v/>
      </c>
      <c r="M9" s="8">
        <f>IF(G9="","",IF(AND(ISNUMBER(SEARCH("@",G9)),ISNUMBER(SEARCH(".",G9,SEARCH("@",G9))),LEN(G9)-LEN(SUBSTITUTE(G9,"@",""))=1,MID(G9,SEARCH("@",G9)+1,1)&lt;&gt;".",RIGHT(G9,1)&lt;&gt;"."),"Válido","Revisar"))</f>
        <v/>
      </c>
      <c r="N9" s="8">
        <f>IF(F9="","",IF(LEN(SUBSTITUTE(SUBSTITUTE(SUBSTITUTE(SUBSTITUTE(F9,"+507",""),"-",""),"(",""),")",""))=8,"Válido","Revisar"))</f>
        <v/>
      </c>
      <c r="O9" s="7" t="inlineStr">
        <is>
          <t>Administradora que gestiona múltiples PH en la ciudad — buen punto de entrada para varios edificios a la vez.</t>
        </is>
      </c>
    </row>
    <row r="10">
      <c r="A10" s="6">
        <f>IF(B10="","",ROW()-1)</f>
        <v/>
      </c>
      <c r="B10" s="7" t="inlineStr">
        <is>
          <t>Easy Land (administración de PH)</t>
        </is>
      </c>
      <c r="C10" s="7" t="inlineStr">
        <is>
          <t>Otro</t>
        </is>
      </c>
      <c r="D10" s="7" t="inlineStr">
        <is>
          <t>Otra zona Ciudad de Panamá</t>
        </is>
      </c>
      <c r="E10" s="7" t="inlineStr">
        <is>
          <t>Panamá</t>
        </is>
      </c>
      <c r="F10" s="7" t="inlineStr">
        <is>
          <t>339-6895 / 6813-4148</t>
        </is>
      </c>
      <c r="G10" s="7" t="inlineStr"/>
      <c r="H10" s="7" t="inlineStr">
        <is>
          <t>easylandpanama.com</t>
        </is>
      </c>
      <c r="I10" s="7" t="inlineStr"/>
      <c r="J10" t="inlineStr">
        <is>
          <t>No</t>
        </is>
      </c>
      <c r="K10" s="7" t="inlineStr">
        <is>
          <t>Sin verificar</t>
        </is>
      </c>
      <c r="L10" s="8">
        <f>IF(B10="","",IF(COUNTIFS($B$2:B10,B10,$D$2:D10,D10)&gt;1,"SI","NO"))</f>
        <v/>
      </c>
      <c r="M10" s="8">
        <f>IF(G10="","",IF(AND(ISNUMBER(SEARCH("@",G10)),ISNUMBER(SEARCH(".",G10,SEARCH("@",G10))),LEN(G10)-LEN(SUBSTITUTE(G10,"@",""))=1,MID(G10,SEARCH("@",G10)+1,1)&lt;&gt;".",RIGHT(G10,1)&lt;&gt;"."),"Válido","Revisar"))</f>
        <v/>
      </c>
      <c r="N10" s="8">
        <f>IF(F10="","",IF(LEN(SUBSTITUTE(SUBSTITUTE(SUBSTITUTE(SUBSTITUTE(F10,"+507",""),"-",""),"(",""),")",""))=8,"Válido","Revisar"))</f>
        <v/>
      </c>
      <c r="O10" s="7" t="inlineStr">
        <is>
          <t>Administradora multi-PH.</t>
        </is>
      </c>
    </row>
    <row r="11">
      <c r="A11" s="6">
        <f>IF(B11="","",ROW()-1)</f>
        <v/>
      </c>
      <c r="B11" s="7" t="inlineStr">
        <is>
          <t>Hotel Sortis</t>
        </is>
      </c>
      <c r="C11" s="7" t="inlineStr">
        <is>
          <t>Hotel</t>
        </is>
      </c>
      <c r="D11" s="7" t="inlineStr">
        <is>
          <t>Otra zona Ciudad de Panamá</t>
        </is>
      </c>
      <c r="E11" s="7" t="inlineStr">
        <is>
          <t>Calle 56 y 57 Este, Obarrio, Bella Vista, Panamá</t>
        </is>
      </c>
      <c r="F11" s="7" t="inlineStr">
        <is>
          <t>(507) 398-8888</t>
        </is>
      </c>
      <c r="G11" s="7" t="inlineStr"/>
      <c r="H11" s="7" t="inlineStr">
        <is>
          <t>sortishotel.com</t>
        </is>
      </c>
      <c r="I11" s="7" t="inlineStr"/>
      <c r="J11" t="inlineStr">
        <is>
          <t>No</t>
        </is>
      </c>
      <c r="K11" s="7" t="inlineStr">
        <is>
          <t>Sin verificar</t>
        </is>
      </c>
      <c r="L11" s="8">
        <f>IF(B11="","",IF(COUNTIFS($B$2:B11,B11,$D$2:D11,D11)&gt;1,"SI","NO"))</f>
        <v/>
      </c>
      <c r="M11" s="8">
        <f>IF(G11="","",IF(AND(ISNUMBER(SEARCH("@",G11)),ISNUMBER(SEARCH(".",G11,SEARCH("@",G11))),LEN(G11)-LEN(SUBSTITUTE(G11,"@",""))=1,MID(G11,SEARCH("@",G11)+1,1)&lt;&gt;".",RIGHT(G11,1)&lt;&gt;"."),"Válido","Revisar"))</f>
        <v/>
      </c>
      <c r="N11" s="8">
        <f>IF(F11="","",IF(LEN(SUBSTITUTE(SUBSTITUTE(SUBSTITUTE(SUBSTITUTE(F11,"+507",""),"-",""),"(",""),")",""))=8,"Válido","Revisar"))</f>
        <v/>
      </c>
      <c r="O11" s="7" t="inlineStr">
        <is>
          <t>Existencia confirmada: 779 reseñas en Google (8.5/10 'Muy bueno'). Confirmar correo por sitio web/recepción.</t>
        </is>
      </c>
    </row>
    <row r="12">
      <c r="A12" s="6">
        <f>IF(B12="","",ROW()-1)</f>
        <v/>
      </c>
      <c r="B12" s="7" t="inlineStr">
        <is>
          <t>Mardem Administración, S.A.</t>
        </is>
      </c>
      <c r="C12" s="7" t="inlineStr">
        <is>
          <t>Otro</t>
        </is>
      </c>
      <c r="D12" s="7" t="inlineStr">
        <is>
          <t>Otra zona Ciudad de Panamá</t>
        </is>
      </c>
      <c r="E12" s="7" t="inlineStr">
        <is>
          <t>Avenida Ernesto T. Lefevre, Panamá</t>
        </is>
      </c>
      <c r="F12" s="7" t="inlineStr">
        <is>
          <t>+507 6673-3363</t>
        </is>
      </c>
      <c r="G12" s="7" t="inlineStr"/>
      <c r="H12" s="7" t="inlineStr">
        <is>
          <t>mardemadministracion.com</t>
        </is>
      </c>
      <c r="I12" s="7" t="inlineStr"/>
      <c r="J12" t="inlineStr">
        <is>
          <t>No</t>
        </is>
      </c>
      <c r="K12" s="7" t="inlineStr">
        <is>
          <t>Sin verificar</t>
        </is>
      </c>
      <c r="L12" s="8">
        <f>IF(B12="","",IF(COUNTIFS($B$2:B12,B12,$D$2:D12,D12)&gt;1,"SI","NO"))</f>
        <v/>
      </c>
      <c r="M12" s="8">
        <f>IF(G12="","",IF(AND(ISNUMBER(SEARCH("@",G12)),ISNUMBER(SEARCH(".",G12,SEARCH("@",G12))),LEN(G12)-LEN(SUBSTITUTE(G12,"@",""))=1,MID(G12,SEARCH("@",G12)+1,1)&lt;&gt;".",RIGHT(G12,1)&lt;&gt;"."),"Válido","Revisar"))</f>
        <v/>
      </c>
      <c r="N12" s="8">
        <f>IF(F12="","",IF(LEN(SUBSTITUTE(SUBSTITUTE(SUBSTITUTE(SUBSTITUTE(F12,"+507",""),"-",""),"(",""),")",""))=8,"Válido","Revisar"))</f>
        <v/>
      </c>
      <c r="O12" s="7" t="inlineStr">
        <is>
          <t>Administradora multi-PH (oficinas, residenciales, plazas comerciales). No se encontró correo público — usar formulario del sitio web.</t>
        </is>
      </c>
    </row>
    <row r="13">
      <c r="A13" s="6">
        <f>IF(B13="","",ROW()-1)</f>
        <v/>
      </c>
      <c r="B13" s="7" t="inlineStr">
        <is>
          <t>Tu Casa PH</t>
        </is>
      </c>
      <c r="C13" s="7" t="inlineStr">
        <is>
          <t>Otro</t>
        </is>
      </c>
      <c r="D13" s="7" t="inlineStr">
        <is>
          <t>Otra zona Ciudad de Panamá</t>
        </is>
      </c>
      <c r="E13" s="7" t="inlineStr">
        <is>
          <t>PH Plaza 2000, Calle 50, Marbella (al lado del hotel Riu), Oficina 14, Panamá</t>
        </is>
      </c>
      <c r="F13" s="7" t="inlineStr">
        <is>
          <t>+507 227-4333</t>
        </is>
      </c>
      <c r="G13" s="7" t="inlineStr">
        <is>
          <t>info@tcadm.com</t>
        </is>
      </c>
      <c r="H13" s="7" t="inlineStr">
        <is>
          <t>tucasaph.com</t>
        </is>
      </c>
      <c r="I13" s="7" t="inlineStr"/>
      <c r="J13" t="inlineStr">
        <is>
          <t>No</t>
        </is>
      </c>
      <c r="K13" s="7" t="inlineStr">
        <is>
          <t>Sin verificar</t>
        </is>
      </c>
      <c r="L13" s="8">
        <f>IF(B13="","",IF(COUNTIFS($B$2:B13,B13,$D$2:D13,D13)&gt;1,"SI","NO"))</f>
        <v/>
      </c>
      <c r="M13" s="8">
        <f>IF(G13="","",IF(AND(ISNUMBER(SEARCH("@",G13)),ISNUMBER(SEARCH(".",G13,SEARCH("@",G13))),LEN(G13)-LEN(SUBSTITUTE(G13,"@",""))=1,MID(G13,SEARCH("@",G13)+1,1)&lt;&gt;".",RIGHT(G13,1)&lt;&gt;"."),"Válido","Revisar"))</f>
        <v/>
      </c>
      <c r="N13" s="8">
        <f>IF(F13="","",IF(LEN(SUBSTITUTE(SUBSTITUTE(SUBSTITUTE(SUBSTITUTE(F13,"+507",""),"-",""),"(",""),")",""))=8,"Válido","Revisar"))</f>
        <v/>
      </c>
      <c r="O13" s="7" t="inlineStr">
        <is>
          <t>Administradora multi-PH con más de 15 años en el mercado panameño.</t>
        </is>
      </c>
    </row>
    <row r="14">
      <c r="A14" s="6">
        <f>IF(B14="","",ROW()-1)</f>
        <v/>
      </c>
      <c r="B14" s="7" t="inlineStr">
        <is>
          <t>Administra PTY (administradora, sirve Santa María Business District)</t>
        </is>
      </c>
      <c r="C14" s="7" t="inlineStr">
        <is>
          <t>Otro</t>
        </is>
      </c>
      <c r="D14" s="7" t="inlineStr">
        <is>
          <t>Costa del Este</t>
        </is>
      </c>
      <c r="E14" s="7" t="inlineStr">
        <is>
          <t>Santa María Business District, Costa del Este, Panamá</t>
        </is>
      </c>
      <c r="F14" s="7" t="inlineStr"/>
      <c r="G14" s="7" t="inlineStr">
        <is>
          <t>contacto@administrapty.com</t>
        </is>
      </c>
      <c r="H14" s="7" t="inlineStr">
        <is>
          <t>administrapty.com</t>
        </is>
      </c>
      <c r="I14" s="7" t="inlineStr"/>
      <c r="J14" t="inlineStr">
        <is>
          <t>No</t>
        </is>
      </c>
      <c r="K14" s="7" t="inlineStr">
        <is>
          <t>Sin verificar</t>
        </is>
      </c>
      <c r="L14" s="8">
        <f>IF(B14="","",IF(COUNTIFS($B$2:B14,B14,$D$2:D14,D14)&gt;1,"SI","NO"))</f>
        <v/>
      </c>
      <c r="M14" s="8">
        <f>IF(G14="","",IF(AND(ISNUMBER(SEARCH("@",G14)),ISNUMBER(SEARCH(".",G14,SEARCH("@",G14))),LEN(G14)-LEN(SUBSTITUTE(G14,"@",""))=1,MID(G14,SEARCH("@",G14)+1,1)&lt;&gt;".",RIGHT(G14,1)&lt;&gt;"."),"Válido","Revisar"))</f>
        <v/>
      </c>
      <c r="N14" s="8">
        <f>IF(F14="","",IF(LEN(SUBSTITUTE(SUBSTITUTE(SUBSTITUTE(SUBSTITUTE(F14,"+507",""),"-",""),"(",""),")",""))=8,"Válido","Revisar"))</f>
        <v/>
      </c>
      <c r="O14" s="7" t="inlineStr">
        <is>
          <t>Administradora que da servicio a propiedades del Santa María Business District — punto de entrada útil para varias torres del sector.</t>
        </is>
      </c>
    </row>
    <row r="15">
      <c r="A15" s="6">
        <f>IF(B15="","",ROW()-1)</f>
        <v/>
      </c>
      <c r="B15" s="7" t="inlineStr">
        <is>
          <t>PH Celeste (Santa María Golf &amp; Country Club)</t>
        </is>
      </c>
      <c r="C15" s="7" t="inlineStr">
        <is>
          <t>PH/Residencial</t>
        </is>
      </c>
      <c r="D15" s="7" t="inlineStr">
        <is>
          <t>Costa del Este</t>
        </is>
      </c>
      <c r="E15" s="7" t="inlineStr">
        <is>
          <t>Santa María Golf &amp; Country Club, Panamá</t>
        </is>
      </c>
      <c r="F15" s="7" t="inlineStr"/>
      <c r="G15" s="7" t="inlineStr"/>
      <c r="H15" s="7" t="inlineStr"/>
      <c r="I15" s="7" t="inlineStr"/>
      <c r="J15" t="inlineStr">
        <is>
          <t>No</t>
        </is>
      </c>
      <c r="K15" s="7" t="inlineStr">
        <is>
          <t>Sin verificar</t>
        </is>
      </c>
      <c r="L15" s="8">
        <f>IF(B15="","",IF(COUNTIFS($B$2:B15,B15,$D$2:D15,D15)&gt;1,"SI","NO"))</f>
        <v/>
      </c>
      <c r="M15" s="8">
        <f>IF(G15="","",IF(AND(ISNUMBER(SEARCH("@",G15)),ISNUMBER(SEARCH(".",G15,SEARCH("@",G15))),LEN(G15)-LEN(SUBSTITUTE(G15,"@",""))=1,MID(G15,SEARCH("@",G15)+1,1)&lt;&gt;".",RIGHT(G15,1)&lt;&gt;"."),"Válido","Revisar"))</f>
        <v/>
      </c>
      <c r="N15" s="8">
        <f>IF(F15="","",IF(LEN(SUBSTITUTE(SUBSTITUTE(SUBSTITUTE(SUBSTITUTE(F15,"+507",""),"-",""),"(",""),")",""))=8,"Válido","Revisar"))</f>
        <v/>
      </c>
      <c r="O15" s="7" t="inlineStr">
        <is>
          <t>Torre residencial de 42 niveles. Sin contacto directo público — verificar con Administra PTY o en portería.</t>
        </is>
      </c>
    </row>
    <row r="16">
      <c r="A16" s="6">
        <f>IF(B16="","",ROW()-1)</f>
        <v/>
      </c>
      <c r="B16" s="7" t="inlineStr">
        <is>
          <t>PH Corotú (Santa María Golf &amp; Country Club)</t>
        </is>
      </c>
      <c r="C16" s="7" t="inlineStr">
        <is>
          <t>PH/Residencial</t>
        </is>
      </c>
      <c r="D16" s="7" t="inlineStr">
        <is>
          <t>Costa del Este</t>
        </is>
      </c>
      <c r="E16" s="7" t="inlineStr">
        <is>
          <t>Santa María Golf &amp; Country Club, Panamá</t>
        </is>
      </c>
      <c r="F16" s="7" t="inlineStr"/>
      <c r="G16" s="7" t="inlineStr"/>
      <c r="H16" s="7" t="inlineStr"/>
      <c r="I16" s="7" t="inlineStr"/>
      <c r="J16" t="inlineStr">
        <is>
          <t>No</t>
        </is>
      </c>
      <c r="K16" s="7" t="inlineStr">
        <is>
          <t>Sin verificar</t>
        </is>
      </c>
      <c r="L16" s="8">
        <f>IF(B16="","",IF(COUNTIFS($B$2:B16,B16,$D$2:D16,D16)&gt;1,"SI","NO"))</f>
        <v/>
      </c>
      <c r="M16" s="8">
        <f>IF(G16="","",IF(AND(ISNUMBER(SEARCH("@",G16)),ISNUMBER(SEARCH(".",G16,SEARCH("@",G16))),LEN(G16)-LEN(SUBSTITUTE(G16,"@",""))=1,MID(G16,SEARCH("@",G16)+1,1)&lt;&gt;".",RIGHT(G16,1)&lt;&gt;"."),"Válido","Revisar"))</f>
        <v/>
      </c>
      <c r="N16" s="8">
        <f>IF(F16="","",IF(LEN(SUBSTITUTE(SUBSTITUTE(SUBSTITUTE(SUBSTITUTE(F16,"+507",""),"-",""),"(",""),")",""))=8,"Válido","Revisar"))</f>
        <v/>
      </c>
      <c r="O16" s="7" t="inlineStr">
        <is>
          <t>Torre de 47 niveles, 199 apartamentos. Sin contacto directo público — verificar con Administra PTY o en portería.</t>
        </is>
      </c>
    </row>
    <row r="17">
      <c r="A17" s="6">
        <f>IF(B17="","",ROW()-1)</f>
        <v/>
      </c>
      <c r="B17" s="7" t="inlineStr">
        <is>
          <t>PH Guayacán (Santa María)</t>
        </is>
      </c>
      <c r="C17" s="7" t="inlineStr">
        <is>
          <t>PH/Residencial</t>
        </is>
      </c>
      <c r="D17" s="7" t="inlineStr">
        <is>
          <t>Costa del Este</t>
        </is>
      </c>
      <c r="E17" s="7" t="inlineStr">
        <is>
          <t>Santa María, Costa del Este, Panamá</t>
        </is>
      </c>
      <c r="F17" s="7" t="inlineStr"/>
      <c r="G17" s="7" t="inlineStr"/>
      <c r="H17" s="7" t="inlineStr"/>
      <c r="I17" s="7" t="inlineStr"/>
      <c r="J17" t="inlineStr">
        <is>
          <t>No</t>
        </is>
      </c>
      <c r="K17" s="7" t="inlineStr">
        <is>
          <t>Sin verificar</t>
        </is>
      </c>
      <c r="L17" s="8">
        <f>IF(B17="","",IF(COUNTIFS($B$2:B17,B17,$D$2:D17,D17)&gt;1,"SI","NO"))</f>
        <v/>
      </c>
      <c r="M17" s="8">
        <f>IF(G17="","",IF(AND(ISNUMBER(SEARCH("@",G17)),ISNUMBER(SEARCH(".",G17,SEARCH("@",G17))),LEN(G17)-LEN(SUBSTITUTE(G17,"@",""))=1,MID(G17,SEARCH("@",G17)+1,1)&lt;&gt;".",RIGHT(G17,1)&lt;&gt;"."),"Válido","Revisar"))</f>
        <v/>
      </c>
      <c r="N17" s="8">
        <f>IF(F17="","",IF(LEN(SUBSTITUTE(SUBSTITUTE(SUBSTITUTE(SUBSTITUTE(F17,"+507",""),"-",""),"(",""),")",""))=8,"Válido","Revisar"))</f>
        <v/>
      </c>
      <c r="O17" s="7" t="inlineStr">
        <is>
          <t>Proyecto residencial de lujo. Sin contacto directo público — verificar con administradora o en portería.</t>
        </is>
      </c>
    </row>
    <row r="18">
      <c r="A18" s="6">
        <f>IF(B18="","",ROW()-1)</f>
        <v/>
      </c>
      <c r="B18" s="7" t="inlineStr">
        <is>
          <t>PH La Vista (Santa María Golf &amp; Country Club)</t>
        </is>
      </c>
      <c r="C18" s="7" t="inlineStr">
        <is>
          <t>PH/Residencial</t>
        </is>
      </c>
      <c r="D18" s="7" t="inlineStr">
        <is>
          <t>Costa del Este</t>
        </is>
      </c>
      <c r="E18" s="7" t="inlineStr">
        <is>
          <t>Santa María Golf &amp; Country Club, Panamá</t>
        </is>
      </c>
      <c r="F18" s="7" t="inlineStr"/>
      <c r="G18" s="7" t="inlineStr"/>
      <c r="H18" s="7" t="inlineStr"/>
      <c r="I18" s="7" t="inlineStr"/>
      <c r="J18" t="inlineStr">
        <is>
          <t>No</t>
        </is>
      </c>
      <c r="K18" s="7" t="inlineStr">
        <is>
          <t>Sin verificar</t>
        </is>
      </c>
      <c r="L18" s="8">
        <f>IF(B18="","",IF(COUNTIFS($B$2:B18,B18,$D$2:D18,D18)&gt;1,"SI","NO"))</f>
        <v/>
      </c>
      <c r="M18" s="8">
        <f>IF(G18="","",IF(AND(ISNUMBER(SEARCH("@",G18)),ISNUMBER(SEARCH(".",G18,SEARCH("@",G18))),LEN(G18)-LEN(SUBSTITUTE(G18,"@",""))=1,MID(G18,SEARCH("@",G18)+1,1)&lt;&gt;".",RIGHT(G18,1)&lt;&gt;"."),"Válido","Revisar"))</f>
        <v/>
      </c>
      <c r="N18" s="8">
        <f>IF(F18="","",IF(LEN(SUBSTITUTE(SUBSTITUTE(SUBSTITUTE(SUBSTITUTE(F18,"+507",""),"-",""),"(",""),")",""))=8,"Válido","Revisar"))</f>
        <v/>
      </c>
      <c r="O18" s="7" t="inlineStr">
        <is>
          <t>Torre residencial de 30 niveles. Sin contacto directo público — verificar con administradora o en portería.</t>
        </is>
      </c>
    </row>
    <row r="19">
      <c r="A19" s="6">
        <f>IF(B19="","",ROW()-1)</f>
        <v/>
      </c>
      <c r="B19" s="7" t="inlineStr">
        <is>
          <t>PH Marea (Costa del Este)</t>
        </is>
      </c>
      <c r="C19" s="7" t="inlineStr">
        <is>
          <t>PH/Residencial</t>
        </is>
      </c>
      <c r="D19" s="7" t="inlineStr">
        <is>
          <t>Costa del Este</t>
        </is>
      </c>
      <c r="E19" s="7" t="inlineStr">
        <is>
          <t>Costa del Este, Panamá</t>
        </is>
      </c>
      <c r="F19" s="7" t="inlineStr"/>
      <c r="G19" s="7" t="inlineStr"/>
      <c r="H19" s="7" t="inlineStr"/>
      <c r="I19" s="7" t="inlineStr"/>
      <c r="J19" t="inlineStr">
        <is>
          <t>No</t>
        </is>
      </c>
      <c r="K19" s="7" t="inlineStr">
        <is>
          <t>Sin verificar</t>
        </is>
      </c>
      <c r="L19" s="8">
        <f>IF(B19="","",IF(COUNTIFS($B$2:B19,B19,$D$2:D19,D19)&gt;1,"SI","NO"))</f>
        <v/>
      </c>
      <c r="M19" s="8">
        <f>IF(G19="","",IF(AND(ISNUMBER(SEARCH("@",G19)),ISNUMBER(SEARCH(".",G19,SEARCH("@",G19))),LEN(G19)-LEN(SUBSTITUTE(G19,"@",""))=1,MID(G19,SEARCH("@",G19)+1,1)&lt;&gt;".",RIGHT(G19,1)&lt;&gt;"."),"Válido","Revisar"))</f>
        <v/>
      </c>
      <c r="N19" s="8">
        <f>IF(F19="","",IF(LEN(SUBSTITUTE(SUBSTITUTE(SUBSTITUTE(SUBSTITUTE(F19,"+507",""),"-",""),"(",""),")",""))=8,"Válido","Revisar"))</f>
        <v/>
      </c>
      <c r="O19" s="7" t="inlineStr">
        <is>
          <t>Sin contacto directo público — verificar con administradora o en portería.</t>
        </is>
      </c>
    </row>
    <row r="20">
      <c r="A20" s="6">
        <f>IF(B20="","",ROW()-1)</f>
        <v/>
      </c>
      <c r="B20" s="7" t="inlineStr">
        <is>
          <t>PH Ocean House (Santa María)</t>
        </is>
      </c>
      <c r="C20" s="7" t="inlineStr">
        <is>
          <t>PH/Residencial</t>
        </is>
      </c>
      <c r="D20" s="7" t="inlineStr">
        <is>
          <t>Costa del Este</t>
        </is>
      </c>
      <c r="E20" s="7" t="inlineStr">
        <is>
          <t>Santa María, Costa del Este, Panamá</t>
        </is>
      </c>
      <c r="F20" s="7" t="inlineStr"/>
      <c r="G20" s="7" t="inlineStr"/>
      <c r="H20" s="7" t="inlineStr"/>
      <c r="I20" s="7" t="inlineStr"/>
      <c r="J20" t="inlineStr">
        <is>
          <t>No</t>
        </is>
      </c>
      <c r="K20" s="7" t="inlineStr">
        <is>
          <t>Sin verificar</t>
        </is>
      </c>
      <c r="L20" s="8">
        <f>IF(B20="","",IF(COUNTIFS($B$2:B20,B20,$D$2:D20,D20)&gt;1,"SI","NO"))</f>
        <v/>
      </c>
      <c r="M20" s="8">
        <f>IF(G20="","",IF(AND(ISNUMBER(SEARCH("@",G20)),ISNUMBER(SEARCH(".",G20,SEARCH("@",G20))),LEN(G20)-LEN(SUBSTITUTE(G20,"@",""))=1,MID(G20,SEARCH("@",G20)+1,1)&lt;&gt;".",RIGHT(G20,1)&lt;&gt;"."),"Válido","Revisar"))</f>
        <v/>
      </c>
      <c r="N20" s="8">
        <f>IF(F20="","",IF(LEN(SUBSTITUTE(SUBSTITUTE(SUBSTITUTE(SUBSTITUTE(F20,"+507",""),"-",""),"(",""),")",""))=8,"Válido","Revisar"))</f>
        <v/>
      </c>
      <c r="O20" s="7" t="inlineStr">
        <is>
          <t>Sin contacto directo público — verificar con administradora o en portería.</t>
        </is>
      </c>
    </row>
    <row r="21">
      <c r="A21" s="6">
        <f>IF(B21="","",ROW()-1)</f>
        <v/>
      </c>
      <c r="B21" s="7" t="inlineStr">
        <is>
          <t>Reserva de Versalles (Oficina Provivienda)</t>
        </is>
      </c>
      <c r="C21" s="7" t="inlineStr">
        <is>
          <t>PH/Residencial</t>
        </is>
      </c>
      <c r="D21" s="7" t="inlineStr">
        <is>
          <t>Reserva de Versalles</t>
        </is>
      </c>
      <c r="E21" s="7" t="inlineStr">
        <is>
          <t>Ave. Balboa, Torre Davivienda, PB y niveles 22-23, Panamá</t>
        </is>
      </c>
      <c r="F21" s="7" t="inlineStr">
        <is>
          <t>300-0806 / 304-9844</t>
        </is>
      </c>
      <c r="G21" s="7" t="inlineStr"/>
      <c r="H21" s="7" t="inlineStr"/>
      <c r="I21" s="7" t="inlineStr"/>
      <c r="J21" t="inlineStr">
        <is>
          <t>No</t>
        </is>
      </c>
      <c r="K21" s="7" t="inlineStr">
        <is>
          <t>Sin verificar</t>
        </is>
      </c>
      <c r="L21" s="8">
        <f>IF(B21="","",IF(COUNTIFS($B$2:B21,B21,$D$2:D21,D21)&gt;1,"SI","NO"))</f>
        <v/>
      </c>
      <c r="M21" s="8">
        <f>IF(G21="","",IF(AND(ISNUMBER(SEARCH("@",G21)),ISNUMBER(SEARCH(".",G21,SEARCH("@",G21))),LEN(G21)-LEN(SUBSTITUTE(G21,"@",""))=1,MID(G21,SEARCH("@",G21)+1,1)&lt;&gt;".",RIGHT(G21,1)&lt;&gt;"."),"Válido","Revisar"))</f>
        <v/>
      </c>
      <c r="N21" s="8">
        <f>IF(F21="","",IF(LEN(SUBSTITUTE(SUBSTITUTE(SUBSTITUTE(SUBSTITUTE(F21,"+507",""),"-",""),"(",""),")",""))=8,"Válido","Revisar"))</f>
        <v/>
      </c>
      <c r="O21" s="7" t="inlineStr">
        <is>
          <t>Oficina de ventas/administración de Grupo Provivienda. Confirmar si ya hay administración de PH independiente para el edificio construido.</t>
        </is>
      </c>
    </row>
    <row r="22">
      <c r="A22" s="6">
        <f>IF(B22="","",ROW()-1)</f>
        <v/>
      </c>
      <c r="B22" s="7" t="inlineStr">
        <is>
          <t>H &amp; H Facility Management (administradora de PH)</t>
        </is>
      </c>
      <c r="C22" s="7" t="inlineStr">
        <is>
          <t>Otro</t>
        </is>
      </c>
      <c r="D22" s="7" t="inlineStr">
        <is>
          <t>Otra zona Ciudad de Panamá</t>
        </is>
      </c>
      <c r="E22" s="7" t="inlineStr">
        <is>
          <t>Condado Plaza, Local No. 4, Panamá</t>
        </is>
      </c>
      <c r="F22" s="7" t="inlineStr"/>
      <c r="G22" s="7" t="inlineStr"/>
      <c r="H22" s="7" t="inlineStr">
        <is>
          <t>hhfacilitymanagement.com</t>
        </is>
      </c>
      <c r="I22" s="7" t="inlineStr"/>
      <c r="J22" t="inlineStr">
        <is>
          <t>No</t>
        </is>
      </c>
      <c r="K22" s="7" t="inlineStr">
        <is>
          <t>Sin verificar</t>
        </is>
      </c>
      <c r="L22" s="8">
        <f>IF(B22="","",IF(COUNTIFS($B$2:B22,B22,$D$2:D22,D22)&gt;1,"SI","NO"))</f>
        <v/>
      </c>
      <c r="M22" s="8">
        <f>IF(G22="","",IF(AND(ISNUMBER(SEARCH("@",G22)),ISNUMBER(SEARCH(".",G22,SEARCH("@",G22))),LEN(G22)-LEN(SUBSTITUTE(G22,"@",""))=1,MID(G22,SEARCH("@",G22)+1,1)&lt;&gt;".",RIGHT(G22,1)&lt;&gt;"."),"Válido","Revisar"))</f>
        <v/>
      </c>
      <c r="N22" s="8">
        <f>IF(F22="","",IF(LEN(SUBSTITUTE(SUBSTITUTE(SUBSTITUTE(SUBSTITUTE(F22,"+507",""),"-",""),"(",""),")",""))=8,"Válido","Revisar"))</f>
        <v/>
      </c>
      <c r="O22" s="7" t="inlineStr">
        <is>
          <t>Administradora multi-PH, 8 años de experiencia. Teléfono/correo no público — usar formulario del sitio web.</t>
        </is>
      </c>
    </row>
    <row r="23">
      <c r="A23" s="6">
        <f>IF(B23="","",ROW()-1)</f>
        <v/>
      </c>
      <c r="B23" s="7" t="inlineStr">
        <is>
          <t>Panama Horizon (administra PH Mystic Village y otros en Don Bosco)</t>
        </is>
      </c>
      <c r="C23" s="7" t="inlineStr">
        <is>
          <t>Otro</t>
        </is>
      </c>
      <c r="D23" s="7" t="inlineStr">
        <is>
          <t>Don Bosco</t>
        </is>
      </c>
      <c r="E23" s="7" t="inlineStr">
        <is>
          <t>Avenida Rodolfo Aguilera, PH Mystic Village, Don Bosco, Panamá</t>
        </is>
      </c>
      <c r="F23" s="7" t="inlineStr">
        <is>
          <t>+507 273-2581 / 6307-8957</t>
        </is>
      </c>
      <c r="G23" s="7" t="inlineStr">
        <is>
          <t>contacto@panamahorizon.net</t>
        </is>
      </c>
      <c r="H23" s="7" t="inlineStr">
        <is>
          <t>panamahorizon.net</t>
        </is>
      </c>
      <c r="I23" s="7" t="inlineStr"/>
      <c r="J23" t="inlineStr">
        <is>
          <t>No</t>
        </is>
      </c>
      <c r="K23" s="7" t="inlineStr">
        <is>
          <t>Sin verificar</t>
        </is>
      </c>
      <c r="L23" s="8">
        <f>IF(B23="","",IF(COUNTIFS($B$2:B23,B23,$D$2:D23,D23)&gt;1,"SI","NO"))</f>
        <v/>
      </c>
      <c r="M23" s="8">
        <f>IF(G23="","",IF(AND(ISNUMBER(SEARCH("@",G23)),ISNUMBER(SEARCH(".",G23,SEARCH("@",G23))),LEN(G23)-LEN(SUBSTITUTE(G23,"@",""))=1,MID(G23,SEARCH("@",G23)+1,1)&lt;&gt;".",RIGHT(G23,1)&lt;&gt;"."),"Válido","Revisar"))</f>
        <v/>
      </c>
      <c r="N23" s="8">
        <f>IF(F23="","",IF(LEN(SUBSTITUTE(SUBSTITUTE(SUBSTITUTE(SUBSTITUTE(F23,"+507",""),"-",""),"(",""),")",""))=8,"Válido","Revisar"))</f>
        <v/>
      </c>
      <c r="O23" s="7" t="inlineStr">
        <is>
          <t>Administradora de PH con oficina en Don Bosco (también opera en Boquete). Buen punto de entrada para varios residenciales del sector.</t>
        </is>
      </c>
    </row>
    <row r="24">
      <c r="A24" s="6">
        <f>IF(B24="","",ROW()-1)</f>
        <v/>
      </c>
      <c r="B24" s="7" t="inlineStr">
        <is>
          <t>Edificio P.H. Brasil 405 (oficinas)</t>
        </is>
      </c>
      <c r="C24" s="7" t="inlineStr">
        <is>
          <t>Oficina</t>
        </is>
      </c>
      <c r="D24" s="7" t="inlineStr">
        <is>
          <t>Vía Brasil</t>
        </is>
      </c>
      <c r="E24" s="7" t="inlineStr">
        <is>
          <t>P.H. Brasil 405, Nivel 1200, Oficina 8-H, Vía Brasil, Panamá</t>
        </is>
      </c>
      <c r="F24" s="7" t="inlineStr"/>
      <c r="G24" s="7" t="inlineStr"/>
      <c r="H24" s="7" t="inlineStr"/>
      <c r="I24" s="7" t="inlineStr"/>
      <c r="J24" t="inlineStr">
        <is>
          <t>No</t>
        </is>
      </c>
      <c r="K24" s="7" t="inlineStr">
        <is>
          <t>Sin verificar</t>
        </is>
      </c>
      <c r="L24" s="8">
        <f>IF(B24="","",IF(COUNTIFS($B$2:B24,B24,$D$2:D24,D24)&gt;1,"SI","NO"))</f>
        <v/>
      </c>
      <c r="M24" s="8">
        <f>IF(G24="","",IF(AND(ISNUMBER(SEARCH("@",G24)),ISNUMBER(SEARCH(".",G24,SEARCH("@",G24))),LEN(G24)-LEN(SUBSTITUTE(G24,"@",""))=1,MID(G24,SEARCH("@",G24)+1,1)&lt;&gt;".",RIGHT(G24,1)&lt;&gt;"."),"Válido","Revisar"))</f>
        <v/>
      </c>
      <c r="N24" s="8">
        <f>IF(F24="","",IF(LEN(SUBSTITUTE(SUBSTITUTE(SUBSTITUTE(SUBSTITUTE(F24,"+507",""),"-",""),"(",""),")",""))=8,"Válido","Revisar"))</f>
        <v/>
      </c>
      <c r="O24" s="7" t="inlineStr">
        <is>
          <t>Edificio de oficinas identificado en Vía Brasil. No se encontró teléfono directo de administración — verificar en portería.</t>
        </is>
      </c>
    </row>
    <row r="25">
      <c r="A25" s="6">
        <f>IF(B25="","",ROW()-1)</f>
        <v/>
      </c>
      <c r="B25" s="7" t="inlineStr">
        <is>
          <t>Balboa Office Center (BOC)</t>
        </is>
      </c>
      <c r="C25" s="7" t="inlineStr">
        <is>
          <t>Oficina</t>
        </is>
      </c>
      <c r="D25" s="7" t="inlineStr">
        <is>
          <t>Avenida Balboa / Cinta Costera</t>
        </is>
      </c>
      <c r="E25" s="7" t="inlineStr">
        <is>
          <t>Ave. Balboa, Cinta Costera, Piso 12, Panamá</t>
        </is>
      </c>
      <c r="F25" s="7" t="inlineStr"/>
      <c r="G25" s="7" t="inlineStr"/>
      <c r="H25" s="7" t="inlineStr"/>
      <c r="I25" s="7" t="inlineStr"/>
      <c r="J25" t="inlineStr">
        <is>
          <t>No</t>
        </is>
      </c>
      <c r="K25" s="7" t="inlineStr">
        <is>
          <t>Sin verificar</t>
        </is>
      </c>
      <c r="L25" s="8">
        <f>IF(B25="","",IF(COUNTIFS($B$2:B25,B25,$D$2:D25,D25)&gt;1,"SI","NO"))</f>
        <v/>
      </c>
      <c r="M25" s="8">
        <f>IF(G25="","",IF(AND(ISNUMBER(SEARCH("@",G25)),ISNUMBER(SEARCH(".",G25,SEARCH("@",G25))),LEN(G25)-LEN(SUBSTITUTE(G25,"@",""))=1,MID(G25,SEARCH("@",G25)+1,1)&lt;&gt;".",RIGHT(G25,1)&lt;&gt;"."),"Válido","Revisar"))</f>
        <v/>
      </c>
      <c r="N25" s="8">
        <f>IF(F25="","",IF(LEN(SUBSTITUTE(SUBSTITUTE(SUBSTITUTE(SUBSTITUTE(F25,"+507",""),"-",""),"(",""),")",""))=8,"Válido","Revisar"))</f>
        <v/>
      </c>
      <c r="O25" s="7" t="inlineStr">
        <is>
          <t>Centro de oficinas moderno de varios pisos. No se encontró teléfono de administración en la búsqueda — confirmar vía sitio web o portería.</t>
        </is>
      </c>
    </row>
    <row r="26">
      <c r="A26" s="6">
        <f>IF(B26="","",ROW()-1)</f>
        <v/>
      </c>
      <c r="B26" s="7" t="inlineStr">
        <is>
          <t>Torre BAC (oficinas, Avenida Balboa)</t>
        </is>
      </c>
      <c r="C26" s="7" t="inlineStr">
        <is>
          <t>Oficina</t>
        </is>
      </c>
      <c r="D26" s="7" t="inlineStr">
        <is>
          <t>Avenida Balboa / Cinta Costera</t>
        </is>
      </c>
      <c r="E26" s="7" t="inlineStr">
        <is>
          <t>Avenida Balboa, con vista a la Cinta Costera, Panamá</t>
        </is>
      </c>
      <c r="F26" s="7" t="inlineStr"/>
      <c r="G26" s="7" t="inlineStr"/>
      <c r="H26" s="7" t="inlineStr"/>
      <c r="I26" s="7" t="inlineStr"/>
      <c r="J26" t="inlineStr">
        <is>
          <t>No</t>
        </is>
      </c>
      <c r="K26" s="7" t="inlineStr">
        <is>
          <t>Sin verificar</t>
        </is>
      </c>
      <c r="L26" s="8">
        <f>IF(B26="","",IF(COUNTIFS($B$2:B26,B26,$D$2:D26,D26)&gt;1,"SI","NO"))</f>
        <v/>
      </c>
      <c r="M26" s="8">
        <f>IF(G26="","",IF(AND(ISNUMBER(SEARCH("@",G26)),ISNUMBER(SEARCH(".",G26,SEARCH("@",G26))),LEN(G26)-LEN(SUBSTITUTE(G26,"@",""))=1,MID(G26,SEARCH("@",G26)+1,1)&lt;&gt;".",RIGHT(G26,1)&lt;&gt;"."),"Válido","Revisar"))</f>
        <v/>
      </c>
      <c r="N26" s="8">
        <f>IF(F26="","",IF(LEN(SUBSTITUTE(SUBSTITUTE(SUBSTITUTE(SUBSTITUTE(F26,"+507",""),"-",""),"(",""),")",""))=8,"Válido","Revisar"))</f>
        <v/>
      </c>
      <c r="O26" s="7" t="inlineStr">
        <is>
          <t>Torre de oficinas. Sin contacto directo público — verificar en portería o sitio del banco BAC.</t>
        </is>
      </c>
    </row>
    <row r="27">
      <c r="A27" s="6">
        <f>IF(B27="","",ROW()-1)</f>
        <v/>
      </c>
      <c r="B27" s="7" t="inlineStr">
        <is>
          <t>PH Torres de Versalles I</t>
        </is>
      </c>
      <c r="C27" s="7" t="inlineStr">
        <is>
          <t>PH/Residencial</t>
        </is>
      </c>
      <c r="D27" s="7" t="inlineStr">
        <is>
          <t>Versalles PH1</t>
        </is>
      </c>
      <c r="E27" s="7" t="inlineStr">
        <is>
          <t>Zona Este, cerca aeropuerto de Tocumen, Panamá</t>
        </is>
      </c>
      <c r="F27" s="7" t="inlineStr">
        <is>
          <t>+507 6678-7895</t>
        </is>
      </c>
      <c r="G27" s="7" t="inlineStr"/>
      <c r="H27" s="7" t="inlineStr"/>
      <c r="I27" s="7" t="inlineStr"/>
      <c r="J27" t="inlineStr">
        <is>
          <t>No</t>
        </is>
      </c>
      <c r="K27" s="7" t="inlineStr">
        <is>
          <t>Sin verificar</t>
        </is>
      </c>
      <c r="L27" s="8">
        <f>IF(B27="","",IF(COUNTIFS($B$2:B27,B27,$D$2:D27,D27)&gt;1,"SI","NO"))</f>
        <v/>
      </c>
      <c r="M27" s="8">
        <f>IF(G27="","",IF(AND(ISNUMBER(SEARCH("@",G27)),ISNUMBER(SEARCH(".",G27,SEARCH("@",G27))),LEN(G27)-LEN(SUBSTITUTE(G27,"@",""))=1,MID(G27,SEARCH("@",G27)+1,1)&lt;&gt;".",RIGHT(G27,1)&lt;&gt;"."),"Válido","Revisar"))</f>
        <v/>
      </c>
      <c r="N27" s="8">
        <f>IF(F27="","",IF(LEN(SUBSTITUTE(SUBSTITUTE(SUBSTITUTE(SUBSTITUTE(F27,"+507",""),"-",""),"(",""),")",""))=8,"Válido","Revisar"))</f>
        <v/>
      </c>
      <c r="O27" s="7" t="inlineStr">
        <is>
          <t>Existencia confirmada: 8 torres, desarrollador Grupo Provivienda, reseñas mixtas en plataformas inmobiliarias. Verificar en persona si corresponde exactamente a 'Versalles PH1' que manejas.</t>
        </is>
      </c>
    </row>
    <row r="28">
      <c r="A28" s="6">
        <f>IF(B28="","",ROW()-1)</f>
        <v/>
      </c>
      <c r="B28" s="7" t="inlineStr">
        <is>
          <t>PH Torres de Versalles II</t>
        </is>
      </c>
      <c r="C28" s="7" t="inlineStr">
        <is>
          <t>PH/Residencial</t>
        </is>
      </c>
      <c r="D28" s="7" t="inlineStr">
        <is>
          <t>Versalles PH2</t>
        </is>
      </c>
      <c r="E28" s="7" t="inlineStr">
        <is>
          <t>Ave. Costanera, Versalles, Juan Díaz, Panamá</t>
        </is>
      </c>
      <c r="F28" s="7" t="inlineStr">
        <is>
          <t>304-9844</t>
        </is>
      </c>
      <c r="G28" s="7" t="inlineStr"/>
      <c r="H28" s="7" t="inlineStr">
        <is>
          <t>gprovivienda.com</t>
        </is>
      </c>
      <c r="I28" s="7" t="inlineStr"/>
      <c r="J28" t="inlineStr">
        <is>
          <t>No</t>
        </is>
      </c>
      <c r="K28" s="7" t="inlineStr">
        <is>
          <t>Sin verificar</t>
        </is>
      </c>
      <c r="L28" s="8">
        <f>IF(B28="","",IF(COUNTIFS($B$2:B28,B28,$D$2:D28,D28)&gt;1,"SI","NO"))</f>
        <v/>
      </c>
      <c r="M28" s="8">
        <f>IF(G28="","",IF(AND(ISNUMBER(SEARCH("@",G28)),ISNUMBER(SEARCH(".",G28,SEARCH("@",G28))),LEN(G28)-LEN(SUBSTITUTE(G28,"@",""))=1,MID(G28,SEARCH("@",G28)+1,1)&lt;&gt;".",RIGHT(G28,1)&lt;&gt;"."),"Válido","Revisar"))</f>
        <v/>
      </c>
      <c r="N28" s="8">
        <f>IF(F28="","",IF(LEN(SUBSTITUTE(SUBSTITUTE(SUBSTITUTE(SUBSTITUTE(F28,"+507",""),"-",""),"(",""),")",""))=8,"Válido","Revisar"))</f>
        <v/>
      </c>
      <c r="O28" s="7" t="inlineStr">
        <is>
          <t>Proyecto de Grupo Provivienda (mismo desarrollador de Versalles I y Reserva de Versalles). Teléfono es línea general de ventas de Provivienda — confirmar contacto específico de administración del PH ya entregado.</t>
        </is>
      </c>
    </row>
    <row r="29">
      <c r="A29" s="6">
        <f>IF(B29="","",ROW()-1)</f>
        <v/>
      </c>
      <c r="B29" s="7" t="inlineStr">
        <is>
          <t>Grupo Provivienda (oficina central — desarrollador de todo el sector Versalles)</t>
        </is>
      </c>
      <c r="C29" s="7" t="inlineStr">
        <is>
          <t>Otro</t>
        </is>
      </c>
      <c r="D29" s="7" t="inlineStr">
        <is>
          <t>Otra zona Ciudad de Panamá</t>
        </is>
      </c>
      <c r="E29" s="7" t="inlineStr">
        <is>
          <t>Ave. Balboa, Torre Davivienda, Panamá</t>
        </is>
      </c>
      <c r="F29" s="7" t="inlineStr">
        <is>
          <t>304-9844 / 304-9807 / 304-9877 / 304-9830 / 304-9836 / 304-9832 / 304-9835 / 304-9813</t>
        </is>
      </c>
      <c r="G29" s="7" t="inlineStr"/>
      <c r="H29" s="7" t="inlineStr">
        <is>
          <t>gprovivienda.com</t>
        </is>
      </c>
      <c r="I29" s="7" t="inlineStr"/>
      <c r="J29" t="inlineStr">
        <is>
          <t>No</t>
        </is>
      </c>
      <c r="K29" s="7" t="inlineStr">
        <is>
          <t>Sin verificar</t>
        </is>
      </c>
      <c r="L29" s="8">
        <f>IF(B29="","",IF(COUNTIFS($B$2:B29,B29,$D$2:D29,D29)&gt;1,"SI","NO"))</f>
        <v/>
      </c>
      <c r="M29" s="8">
        <f>IF(G29="","",IF(AND(ISNUMBER(SEARCH("@",G29)),ISNUMBER(SEARCH(".",G29,SEARCH("@",G29))),LEN(G29)-LEN(SUBSTITUTE(G29,"@",""))=1,MID(G29,SEARCH("@",G29)+1,1)&lt;&gt;".",RIGHT(G29,1)&lt;&gt;"."),"Válido","Revisar"))</f>
        <v/>
      </c>
      <c r="N29" s="8">
        <f>IF(F29="","",IF(LEN(SUBSTITUTE(SUBSTITUTE(SUBSTITUTE(SUBSTITUTE(F29,"+507",""),"-",""),"(",""),")",""))=8,"Válido","Revisar"))</f>
        <v/>
      </c>
      <c r="O29" s="7" t="inlineStr">
        <is>
          <t>Desarrollador de Torres de Versalles I y II, Reserva de Versalles, Riviera del Golf (Coco del Mar), Van Gogh, Torres de Cantabria y otros. Contactarlos aquí puede abrir varios PH del mismo grupo de una vez — pedir el contacto de administración de cada proyecto ya entregado (ellos no administran una vez vendido, pero pueden referir a la junta de propietarios).</t>
        </is>
      </c>
    </row>
    <row r="30">
      <c r="A30" s="6">
        <f>IF(B30="","",ROW()-1)</f>
        <v/>
      </c>
      <c r="B30" s="7" t="inlineStr">
        <is>
          <t>Riviera del Golf (Coco del Mar)</t>
        </is>
      </c>
      <c r="C30" s="7" t="inlineStr">
        <is>
          <t>PH/Residencial</t>
        </is>
      </c>
      <c r="D30" s="7" t="inlineStr">
        <is>
          <t>Otra zona Ciudad de Panamá</t>
        </is>
      </c>
      <c r="E30" s="7" t="inlineStr">
        <is>
          <t>Coco del Mar, Panamá</t>
        </is>
      </c>
      <c r="F30" s="7" t="inlineStr">
        <is>
          <t>304-9844</t>
        </is>
      </c>
      <c r="G30" s="7" t="inlineStr"/>
      <c r="H30" s="7" t="inlineStr">
        <is>
          <t>gprovivienda.com</t>
        </is>
      </c>
      <c r="I30" s="7" t="inlineStr"/>
      <c r="J30" t="inlineStr">
        <is>
          <t>No</t>
        </is>
      </c>
      <c r="K30" s="7" t="inlineStr">
        <is>
          <t>Sin verificar</t>
        </is>
      </c>
      <c r="L30" s="8">
        <f>IF(B30="","",IF(COUNTIFS($B$2:B30,B30,$D$2:D30,D30)&gt;1,"SI","NO"))</f>
        <v/>
      </c>
      <c r="M30" s="8">
        <f>IF(G30="","",IF(AND(ISNUMBER(SEARCH("@",G30)),ISNUMBER(SEARCH(".",G30,SEARCH("@",G30))),LEN(G30)-LEN(SUBSTITUTE(G30,"@",""))=1,MID(G30,SEARCH("@",G30)+1,1)&lt;&gt;".",RIGHT(G30,1)&lt;&gt;"."),"Válido","Revisar"))</f>
        <v/>
      </c>
      <c r="N30" s="8">
        <f>IF(F30="","",IF(LEN(SUBSTITUTE(SUBSTITUTE(SUBSTITUTE(SUBSTITUTE(F30,"+507",""),"-",""),"(",""),")",""))=8,"Válido","Revisar"))</f>
        <v/>
      </c>
      <c r="O30" s="7" t="inlineStr">
        <is>
          <t>Proyecto de Grupo Provivienda con vista al mar en Coco del Mar, cerca de Costa del Este. Teléfono es línea general de ventas — confirmar administración del PH ya entregado.</t>
        </is>
      </c>
    </row>
    <row r="31">
      <c r="A31" s="6">
        <f>IF(B31="","",ROW()-1)</f>
        <v/>
      </c>
      <c r="B31" s="7" t="inlineStr">
        <is>
          <t>PH Sevilla</t>
        </is>
      </c>
      <c r="C31" s="7" t="inlineStr">
        <is>
          <t>PH/Residencial</t>
        </is>
      </c>
      <c r="D31" s="7" t="inlineStr">
        <is>
          <t>Costa del Este</t>
        </is>
      </c>
      <c r="E31" s="7" t="inlineStr">
        <is>
          <t>Torre 2000, Calle Greenbay, Costa del Este, Panamá</t>
        </is>
      </c>
      <c r="F31" s="7" t="inlineStr"/>
      <c r="G31" s="7" t="inlineStr">
        <is>
          <t>administracion@phsevillapty.com</t>
        </is>
      </c>
      <c r="H31" s="7" t="inlineStr">
        <is>
          <t>phsevillapty.com</t>
        </is>
      </c>
      <c r="I31" s="7" t="inlineStr"/>
      <c r="J31" t="inlineStr">
        <is>
          <t>No</t>
        </is>
      </c>
      <c r="K31" s="7" t="inlineStr">
        <is>
          <t>Sin verificar</t>
        </is>
      </c>
      <c r="L31" s="8">
        <f>IF(B31="","",IF(COUNTIFS($B$2:B31,B31,$D$2:D31,D31)&gt;1,"SI","NO"))</f>
        <v/>
      </c>
      <c r="M31" s="8">
        <f>IF(G31="","",IF(AND(ISNUMBER(SEARCH("@",G31)),ISNUMBER(SEARCH(".",G31,SEARCH("@",G31))),LEN(G31)-LEN(SUBSTITUTE(G31,"@",""))=1,MID(G31,SEARCH("@",G31)+1,1)&lt;&gt;".",RIGHT(G31,1)&lt;&gt;"."),"Válido","Revisar"))</f>
        <v/>
      </c>
      <c r="N31" s="8">
        <f>IF(F31="","",IF(LEN(SUBSTITUTE(SUBSTITUTE(SUBSTITUTE(SUBSTITUTE(F31,"+507",""),"-",""),"(",""),")",""))=8,"Válido","Revisar"))</f>
        <v/>
      </c>
      <c r="O31" s="7" t="inlineStr">
        <is>
          <t>Administración confirmada vía sitio web oficial. Reportes financieros disponibles en el sitio.</t>
        </is>
      </c>
    </row>
    <row r="32">
      <c r="A32" s="6">
        <f>IF(B32="","",ROW()-1)</f>
        <v/>
      </c>
      <c r="B32" s="7" t="inlineStr">
        <is>
          <t>P.H. Parques del Mar</t>
        </is>
      </c>
      <c r="C32" s="7" t="inlineStr">
        <is>
          <t>PH/Residencial</t>
        </is>
      </c>
      <c r="D32" s="7" t="inlineStr">
        <is>
          <t>Costa del Este</t>
        </is>
      </c>
      <c r="E32" s="7" t="inlineStr">
        <is>
          <t>Parque Lefevre, Panamá</t>
        </is>
      </c>
      <c r="F32" s="7" t="inlineStr"/>
      <c r="G32" s="7" t="inlineStr"/>
      <c r="H32" s="7" t="inlineStr"/>
      <c r="I32" s="7" t="inlineStr"/>
      <c r="J32" t="inlineStr">
        <is>
          <t>No</t>
        </is>
      </c>
      <c r="K32" s="7" t="inlineStr">
        <is>
          <t>Sin verificar</t>
        </is>
      </c>
      <c r="L32" s="8">
        <f>IF(B32="","",IF(COUNTIFS($B$2:B32,B32,$D$2:D32,D32)&gt;1,"SI","NO"))</f>
        <v/>
      </c>
      <c r="M32" s="8">
        <f>IF(G32="","",IF(AND(ISNUMBER(SEARCH("@",G32)),ISNUMBER(SEARCH(".",G32,SEARCH("@",G32))),LEN(G32)-LEN(SUBSTITUTE(G32,"@",""))=1,MID(G32,SEARCH("@",G32)+1,1)&lt;&gt;".",RIGHT(G32,1)&lt;&gt;"."),"Válido","Revisar"))</f>
        <v/>
      </c>
      <c r="N32" s="8">
        <f>IF(F32="","",IF(LEN(SUBSTITUTE(SUBSTITUTE(SUBSTITUTE(SUBSTITUTE(F32,"+507",""),"-",""),"(",""),")",""))=8,"Válido","Revisar"))</f>
        <v/>
      </c>
      <c r="O32" s="7" t="inlineStr">
        <is>
          <t>Encontrado vía TomTom Maps (POI residencial confirmado, existencia real). Sin teléfono público listado — verificar en portería o con la administración en persona.</t>
        </is>
      </c>
    </row>
    <row r="33">
      <c r="A33" s="6">
        <f>IF(B33="","",ROW()-1)</f>
        <v/>
      </c>
      <c r="B33" s="7" t="inlineStr">
        <is>
          <t>P.H. Castellammare</t>
        </is>
      </c>
      <c r="C33" s="7" t="inlineStr">
        <is>
          <t>PH/Residencial</t>
        </is>
      </c>
      <c r="D33" s="7" t="inlineStr">
        <is>
          <t>Costa del Este</t>
        </is>
      </c>
      <c r="E33" s="7" t="inlineStr">
        <is>
          <t>Parque Lefevre, Panamá</t>
        </is>
      </c>
      <c r="F33" s="7" t="inlineStr"/>
      <c r="G33" s="7" t="inlineStr"/>
      <c r="H33" s="7" t="inlineStr"/>
      <c r="I33" s="7" t="inlineStr"/>
      <c r="J33" t="inlineStr">
        <is>
          <t>No</t>
        </is>
      </c>
      <c r="K33" s="7" t="inlineStr">
        <is>
          <t>Sin verificar</t>
        </is>
      </c>
      <c r="L33" s="8">
        <f>IF(B33="","",IF(COUNTIFS($B$2:B33,B33,$D$2:D33,D33)&gt;1,"SI","NO"))</f>
        <v/>
      </c>
      <c r="M33" s="8">
        <f>IF(G33="","",IF(AND(ISNUMBER(SEARCH("@",G33)),ISNUMBER(SEARCH(".",G33,SEARCH("@",G33))),LEN(G33)-LEN(SUBSTITUTE(G33,"@",""))=1,MID(G33,SEARCH("@",G33)+1,1)&lt;&gt;".",RIGHT(G33,1)&lt;&gt;"."),"Válido","Revisar"))</f>
        <v/>
      </c>
      <c r="N33" s="8">
        <f>IF(F33="","",IF(LEN(SUBSTITUTE(SUBSTITUTE(SUBSTITUTE(SUBSTITUTE(F33,"+507",""),"-",""),"(",""),")",""))=8,"Válido","Revisar"))</f>
        <v/>
      </c>
      <c r="O33" s="7" t="inlineStr">
        <is>
          <t>Encontrado vía TomTom Maps (POI residencial confirmado, existencia real). Sin teléfono público listado — verificar en portería o con la administración en persona.</t>
        </is>
      </c>
    </row>
    <row r="34">
      <c r="A34" s="6">
        <f>IF(B34="","",ROW()-1)</f>
        <v/>
      </c>
      <c r="B34" s="7" t="inlineStr">
        <is>
          <t>P.H. Mirador</t>
        </is>
      </c>
      <c r="C34" s="7" t="inlineStr">
        <is>
          <t>PH/Residencial</t>
        </is>
      </c>
      <c r="D34" s="7" t="inlineStr">
        <is>
          <t>Costa del Este</t>
        </is>
      </c>
      <c r="E34" s="7" t="inlineStr">
        <is>
          <t>Parque Lefevre, Panamá</t>
        </is>
      </c>
      <c r="F34" s="7" t="inlineStr"/>
      <c r="G34" s="7" t="inlineStr"/>
      <c r="H34" s="7" t="inlineStr"/>
      <c r="I34" s="7" t="inlineStr"/>
      <c r="J34" t="inlineStr">
        <is>
          <t>No</t>
        </is>
      </c>
      <c r="K34" s="7" t="inlineStr">
        <is>
          <t>Sin verificar</t>
        </is>
      </c>
      <c r="L34" s="8">
        <f>IF(B34="","",IF(COUNTIFS($B$2:B34,B34,$D$2:D34,D34)&gt;1,"SI","NO"))</f>
        <v/>
      </c>
      <c r="M34" s="8">
        <f>IF(G34="","",IF(AND(ISNUMBER(SEARCH("@",G34)),ISNUMBER(SEARCH(".",G34,SEARCH("@",G34))),LEN(G34)-LEN(SUBSTITUTE(G34,"@",""))=1,MID(G34,SEARCH("@",G34)+1,1)&lt;&gt;".",RIGHT(G34,1)&lt;&gt;"."),"Válido","Revisar"))</f>
        <v/>
      </c>
      <c r="N34" s="8">
        <f>IF(F34="","",IF(LEN(SUBSTITUTE(SUBSTITUTE(SUBSTITUTE(SUBSTITUTE(F34,"+507",""),"-",""),"(",""),")",""))=8,"Válido","Revisar"))</f>
        <v/>
      </c>
      <c r="O34" s="7" t="inlineStr">
        <is>
          <t>Encontrado vía TomTom Maps (POI residencial confirmado, existencia real). Sin teléfono público listado — verificar en portería o con la administración en persona.</t>
        </is>
      </c>
    </row>
    <row r="35">
      <c r="A35" s="6">
        <f>IF(B35="","",ROW()-1)</f>
        <v/>
      </c>
      <c r="B35" s="7" t="inlineStr">
        <is>
          <t>Costa del Mar</t>
        </is>
      </c>
      <c r="C35" s="7" t="inlineStr">
        <is>
          <t>PH/Residencial</t>
        </is>
      </c>
      <c r="D35" s="7" t="inlineStr">
        <is>
          <t>Costa del Este</t>
        </is>
      </c>
      <c r="E35" s="7" t="inlineStr">
        <is>
          <t>Parque Lefevre, Panamá</t>
        </is>
      </c>
      <c r="F35" s="7" t="inlineStr"/>
      <c r="G35" s="7" t="inlineStr"/>
      <c r="H35" s="7" t="inlineStr"/>
      <c r="I35" s="7" t="inlineStr"/>
      <c r="J35" t="inlineStr">
        <is>
          <t>No</t>
        </is>
      </c>
      <c r="K35" s="7" t="inlineStr">
        <is>
          <t>Sin verificar</t>
        </is>
      </c>
      <c r="L35" s="8">
        <f>IF(B35="","",IF(COUNTIFS($B$2:B35,B35,$D$2:D35,D35)&gt;1,"SI","NO"))</f>
        <v/>
      </c>
      <c r="M35" s="8">
        <f>IF(G35="","",IF(AND(ISNUMBER(SEARCH("@",G35)),ISNUMBER(SEARCH(".",G35,SEARCH("@",G35))),LEN(G35)-LEN(SUBSTITUTE(G35,"@",""))=1,MID(G35,SEARCH("@",G35)+1,1)&lt;&gt;".",RIGHT(G35,1)&lt;&gt;"."),"Válido","Revisar"))</f>
        <v/>
      </c>
      <c r="N35" s="8">
        <f>IF(F35="","",IF(LEN(SUBSTITUTE(SUBSTITUTE(SUBSTITUTE(SUBSTITUTE(F35,"+507",""),"-",""),"(",""),")",""))=8,"Válido","Revisar"))</f>
        <v/>
      </c>
      <c r="O35" s="7" t="inlineStr">
        <is>
          <t>Encontrado vía TomTom Maps (POI residencial confirmado, existencia real). Sin teléfono público listado — verificar en portería o con la administración en persona.</t>
        </is>
      </c>
    </row>
    <row r="36">
      <c r="A36" s="6">
        <f>IF(B36="","",ROW()-1)</f>
        <v/>
      </c>
      <c r="B36" s="7" t="inlineStr">
        <is>
          <t>P.H. Lumiere</t>
        </is>
      </c>
      <c r="C36" s="7" t="inlineStr">
        <is>
          <t>PH/Residencial</t>
        </is>
      </c>
      <c r="D36" s="7" t="inlineStr">
        <is>
          <t>Costa del Este</t>
        </is>
      </c>
      <c r="E36" s="7" t="inlineStr">
        <is>
          <t>Parque Lefevre, Panamá</t>
        </is>
      </c>
      <c r="F36" s="7" t="inlineStr"/>
      <c r="G36" s="7" t="inlineStr"/>
      <c r="H36" s="7" t="inlineStr"/>
      <c r="I36" s="7" t="inlineStr"/>
      <c r="J36" t="inlineStr">
        <is>
          <t>No</t>
        </is>
      </c>
      <c r="K36" s="7" t="inlineStr">
        <is>
          <t>Sin verificar</t>
        </is>
      </c>
      <c r="L36" s="8">
        <f>IF(B36="","",IF(COUNTIFS($B$2:B36,B36,$D$2:D36,D36)&gt;1,"SI","NO"))</f>
        <v/>
      </c>
      <c r="M36" s="8">
        <f>IF(G36="","",IF(AND(ISNUMBER(SEARCH("@",G36)),ISNUMBER(SEARCH(".",G36,SEARCH("@",G36))),LEN(G36)-LEN(SUBSTITUTE(G36,"@",""))=1,MID(G36,SEARCH("@",G36)+1,1)&lt;&gt;".",RIGHT(G36,1)&lt;&gt;"."),"Válido","Revisar"))</f>
        <v/>
      </c>
      <c r="N36" s="8">
        <f>IF(F36="","",IF(LEN(SUBSTITUTE(SUBSTITUTE(SUBSTITUTE(SUBSTITUTE(F36,"+507",""),"-",""),"(",""),")",""))=8,"Válido","Revisar"))</f>
        <v/>
      </c>
      <c r="O36" s="7" t="inlineStr">
        <is>
          <t>Encontrado vía TomTom Maps (POI residencial confirmado, existencia real). Sin teléfono público listado — verificar en portería o con la administración en persona.</t>
        </is>
      </c>
    </row>
    <row r="37">
      <c r="A37" s="6">
        <f>IF(B37="","",ROW()-1)</f>
        <v/>
      </c>
      <c r="B37" s="7" t="inlineStr">
        <is>
          <t>P.H. Riverside</t>
        </is>
      </c>
      <c r="C37" s="7" t="inlineStr">
        <is>
          <t>PH/Residencial</t>
        </is>
      </c>
      <c r="D37" s="7" t="inlineStr">
        <is>
          <t>Costa del Este</t>
        </is>
      </c>
      <c r="E37" s="7" t="inlineStr">
        <is>
          <t>Parque Lefevre, Panamá</t>
        </is>
      </c>
      <c r="F37" s="7" t="inlineStr"/>
      <c r="G37" s="7" t="inlineStr"/>
      <c r="H37" s="7" t="inlineStr"/>
      <c r="I37" s="7" t="inlineStr"/>
      <c r="J37" t="inlineStr">
        <is>
          <t>No</t>
        </is>
      </c>
      <c r="K37" s="7" t="inlineStr">
        <is>
          <t>Sin verificar</t>
        </is>
      </c>
      <c r="L37" s="8">
        <f>IF(B37="","",IF(COUNTIFS($B$2:B37,B37,$D$2:D37,D37)&gt;1,"SI","NO"))</f>
        <v/>
      </c>
      <c r="M37" s="8">
        <f>IF(G37="","",IF(AND(ISNUMBER(SEARCH("@",G37)),ISNUMBER(SEARCH(".",G37,SEARCH("@",G37))),LEN(G37)-LEN(SUBSTITUTE(G37,"@",""))=1,MID(G37,SEARCH("@",G37)+1,1)&lt;&gt;".",RIGHT(G37,1)&lt;&gt;"."),"Válido","Revisar"))</f>
        <v/>
      </c>
      <c r="N37" s="8">
        <f>IF(F37="","",IF(LEN(SUBSTITUTE(SUBSTITUTE(SUBSTITUTE(SUBSTITUTE(F37,"+507",""),"-",""),"(",""),")",""))=8,"Válido","Revisar"))</f>
        <v/>
      </c>
      <c r="O37" s="7" t="inlineStr">
        <is>
          <t>Encontrado vía TomTom Maps (POI residencial confirmado, existencia real). Sin teléfono público listado — verificar en portería o con la administración en persona.</t>
        </is>
      </c>
    </row>
    <row r="38">
      <c r="A38" s="6">
        <f>IF(B38="","",ROW()-1)</f>
        <v/>
      </c>
      <c r="B38" s="7" t="inlineStr">
        <is>
          <t>P.H. Mikonos</t>
        </is>
      </c>
      <c r="C38" s="7" t="inlineStr">
        <is>
          <t>PH/Residencial</t>
        </is>
      </c>
      <c r="D38" s="7" t="inlineStr">
        <is>
          <t>Costa del Este</t>
        </is>
      </c>
      <c r="E38" s="7" t="inlineStr">
        <is>
          <t>Parque Lefevre, Panamá</t>
        </is>
      </c>
      <c r="F38" s="7" t="inlineStr"/>
      <c r="G38" s="7" t="inlineStr"/>
      <c r="H38" s="7" t="inlineStr"/>
      <c r="I38" s="7" t="inlineStr"/>
      <c r="J38" t="inlineStr">
        <is>
          <t>No</t>
        </is>
      </c>
      <c r="K38" s="7" t="inlineStr">
        <is>
          <t>Sin verificar</t>
        </is>
      </c>
      <c r="L38" s="8">
        <f>IF(B38="","",IF(COUNTIFS($B$2:B38,B38,$D$2:D38,D38)&gt;1,"SI","NO"))</f>
        <v/>
      </c>
      <c r="M38" s="8">
        <f>IF(G38="","",IF(AND(ISNUMBER(SEARCH("@",G38)),ISNUMBER(SEARCH(".",G38,SEARCH("@",G38))),LEN(G38)-LEN(SUBSTITUTE(G38,"@",""))=1,MID(G38,SEARCH("@",G38)+1,1)&lt;&gt;".",RIGHT(G38,1)&lt;&gt;"."),"Válido","Revisar"))</f>
        <v/>
      </c>
      <c r="N38" s="8">
        <f>IF(F38="","",IF(LEN(SUBSTITUTE(SUBSTITUTE(SUBSTITUTE(SUBSTITUTE(F38,"+507",""),"-",""),"(",""),")",""))=8,"Válido","Revisar"))</f>
        <v/>
      </c>
      <c r="O38" s="7" t="inlineStr">
        <is>
          <t>Encontrado vía TomTom Maps (POI residencial confirmado, existencia real). Sin teléfono público listado — verificar en portería o con la administración en persona.</t>
        </is>
      </c>
    </row>
    <row r="39">
      <c r="A39" s="6">
        <f>IF(B39="","",ROW()-1)</f>
        <v/>
      </c>
      <c r="B39" s="7" t="inlineStr">
        <is>
          <t>Villas de Costa del Este</t>
        </is>
      </c>
      <c r="C39" s="7" t="inlineStr">
        <is>
          <t>PH/Residencial</t>
        </is>
      </c>
      <c r="D39" s="7" t="inlineStr">
        <is>
          <t>Costa del Este</t>
        </is>
      </c>
      <c r="E39" s="7" t="inlineStr">
        <is>
          <t>Parque Lefevre, Panamá</t>
        </is>
      </c>
      <c r="F39" s="7" t="inlineStr"/>
      <c r="G39" s="7" t="inlineStr"/>
      <c r="H39" s="7" t="inlineStr"/>
      <c r="I39" s="7" t="inlineStr"/>
      <c r="J39" t="inlineStr">
        <is>
          <t>No</t>
        </is>
      </c>
      <c r="K39" s="7" t="inlineStr">
        <is>
          <t>Sin verificar</t>
        </is>
      </c>
      <c r="L39" s="8">
        <f>IF(B39="","",IF(COUNTIFS($B$2:B39,B39,$D$2:D39,D39)&gt;1,"SI","NO"))</f>
        <v/>
      </c>
      <c r="M39" s="8">
        <f>IF(G39="","",IF(AND(ISNUMBER(SEARCH("@",G39)),ISNUMBER(SEARCH(".",G39,SEARCH("@",G39))),LEN(G39)-LEN(SUBSTITUTE(G39,"@",""))=1,MID(G39,SEARCH("@",G39)+1,1)&lt;&gt;".",RIGHT(G39,1)&lt;&gt;"."),"Válido","Revisar"))</f>
        <v/>
      </c>
      <c r="N39" s="8">
        <f>IF(F39="","",IF(LEN(SUBSTITUTE(SUBSTITUTE(SUBSTITUTE(SUBSTITUTE(F39,"+507",""),"-",""),"(",""),")",""))=8,"Válido","Revisar"))</f>
        <v/>
      </c>
      <c r="O39" s="7" t="inlineStr">
        <is>
          <t>Encontrado vía TomTom Maps (POI residencial confirmado, existencia real). Sin teléfono público listado — verificar en portería o con la administración en persona.</t>
        </is>
      </c>
    </row>
    <row r="40">
      <c r="A40" s="6">
        <f>IF(B40="","",ROW()-1)</f>
        <v/>
      </c>
      <c r="B40" s="7" t="inlineStr">
        <is>
          <t>Reparto Nuevo Panamá</t>
        </is>
      </c>
      <c r="C40" s="7" t="inlineStr">
        <is>
          <t>PH/Residencial</t>
        </is>
      </c>
      <c r="D40" s="7" t="inlineStr">
        <is>
          <t>Costa del Este</t>
        </is>
      </c>
      <c r="E40" s="7" t="inlineStr">
        <is>
          <t>Calle 4, Parque Lefevre, Panamá</t>
        </is>
      </c>
      <c r="F40" s="7" t="inlineStr"/>
      <c r="G40" s="7" t="inlineStr"/>
      <c r="H40" s="7" t="inlineStr"/>
      <c r="I40" s="7" t="inlineStr"/>
      <c r="J40" t="inlineStr">
        <is>
          <t>No</t>
        </is>
      </c>
      <c r="K40" s="7" t="inlineStr">
        <is>
          <t>Sin verificar</t>
        </is>
      </c>
      <c r="L40" s="8">
        <f>IF(B40="","",IF(COUNTIFS($B$2:B40,B40,$D$2:D40,D40)&gt;1,"SI","NO"))</f>
        <v/>
      </c>
      <c r="M40" s="8">
        <f>IF(G40="","",IF(AND(ISNUMBER(SEARCH("@",G40)),ISNUMBER(SEARCH(".",G40,SEARCH("@",G40))),LEN(G40)-LEN(SUBSTITUTE(G40,"@",""))=1,MID(G40,SEARCH("@",G40)+1,1)&lt;&gt;".",RIGHT(G40,1)&lt;&gt;"."),"Válido","Revisar"))</f>
        <v/>
      </c>
      <c r="N40" s="8">
        <f>IF(F40="","",IF(LEN(SUBSTITUTE(SUBSTITUTE(SUBSTITUTE(SUBSTITUTE(F40,"+507",""),"-",""),"(",""),")",""))=8,"Válido","Revisar"))</f>
        <v/>
      </c>
      <c r="O40" s="7" t="inlineStr">
        <is>
          <t>Encontrado vía TomTom Maps (POI residencial confirmado, existencia real). Sin teléfono público listado — verificar en portería o con la administración en persona.</t>
        </is>
      </c>
    </row>
    <row r="41">
      <c r="A41" s="6">
        <f>IF(B41="","",ROW()-1)</f>
        <v/>
      </c>
      <c r="B41" s="7" t="inlineStr">
        <is>
          <t>Villa del Rey</t>
        </is>
      </c>
      <c r="C41" s="7" t="inlineStr">
        <is>
          <t>PH/Residencial</t>
        </is>
      </c>
      <c r="D41" s="7" t="inlineStr">
        <is>
          <t>Costa del Este</t>
        </is>
      </c>
      <c r="E41" s="7" t="inlineStr">
        <is>
          <t>Calle Villa del Rey, Parque Lefevre, Panamá</t>
        </is>
      </c>
      <c r="F41" s="7" t="inlineStr"/>
      <c r="G41" s="7" t="inlineStr"/>
      <c r="H41" s="7" t="inlineStr"/>
      <c r="I41" s="7" t="inlineStr"/>
      <c r="J41" t="inlineStr">
        <is>
          <t>No</t>
        </is>
      </c>
      <c r="K41" s="7" t="inlineStr">
        <is>
          <t>Sin verificar</t>
        </is>
      </c>
      <c r="L41" s="8">
        <f>IF(B41="","",IF(COUNTIFS($B$2:B41,B41,$D$2:D41,D41)&gt;1,"SI","NO"))</f>
        <v/>
      </c>
      <c r="M41" s="8">
        <f>IF(G41="","",IF(AND(ISNUMBER(SEARCH("@",G41)),ISNUMBER(SEARCH(".",G41,SEARCH("@",G41))),LEN(G41)-LEN(SUBSTITUTE(G41,"@",""))=1,MID(G41,SEARCH("@",G41)+1,1)&lt;&gt;".",RIGHT(G41,1)&lt;&gt;"."),"Válido","Revisar"))</f>
        <v/>
      </c>
      <c r="N41" s="8">
        <f>IF(F41="","",IF(LEN(SUBSTITUTE(SUBSTITUTE(SUBSTITUTE(SUBSTITUTE(F41,"+507",""),"-",""),"(",""),")",""))=8,"Válido","Revisar"))</f>
        <v/>
      </c>
      <c r="O41" s="7" t="inlineStr">
        <is>
          <t>Encontrado vía TomTom Maps (POI residencial confirmado, existencia real). Sin teléfono público listado — verificar en portería o con la administración en persona.</t>
        </is>
      </c>
    </row>
    <row r="42">
      <c r="A42" s="6">
        <f>IF(B42="","",ROW()-1)</f>
        <v/>
      </c>
      <c r="B42" s="7" t="inlineStr">
        <is>
          <t>La Fontana</t>
        </is>
      </c>
      <c r="C42" s="7" t="inlineStr">
        <is>
          <t>PH/Residencial</t>
        </is>
      </c>
      <c r="D42" s="7" t="inlineStr">
        <is>
          <t>Costa del Este</t>
        </is>
      </c>
      <c r="E42" s="7" t="inlineStr">
        <is>
          <t>Calle Benjamin Quintero, Parque Lefevre, Panamá</t>
        </is>
      </c>
      <c r="F42" s="7" t="inlineStr">
        <is>
          <t>(2) 265-1272</t>
        </is>
      </c>
      <c r="G42" s="7" t="inlineStr"/>
      <c r="H42" s="7" t="inlineStr"/>
      <c r="I42" s="7" t="inlineStr"/>
      <c r="J42" t="inlineStr">
        <is>
          <t>No</t>
        </is>
      </c>
      <c r="K42" s="7" t="inlineStr">
        <is>
          <t>Sin verificar</t>
        </is>
      </c>
      <c r="L42" s="8">
        <f>IF(B42="","",IF(COUNTIFS($B$2:B42,B42,$D$2:D42,D42)&gt;1,"SI","NO"))</f>
        <v/>
      </c>
      <c r="M42" s="8">
        <f>IF(G42="","",IF(AND(ISNUMBER(SEARCH("@",G42)),ISNUMBER(SEARCH(".",G42,SEARCH("@",G42))),LEN(G42)-LEN(SUBSTITUTE(G42,"@",""))=1,MID(G42,SEARCH("@",G42)+1,1)&lt;&gt;".",RIGHT(G42,1)&lt;&gt;"."),"Válido","Revisar"))</f>
        <v/>
      </c>
      <c r="N42" s="8">
        <f>IF(F42="","",IF(LEN(SUBSTITUTE(SUBSTITUTE(SUBSTITUTE(SUBSTITUTE(F42,"+507",""),"-",""),"(",""),")",""))=8,"Válido","Revisar"))</f>
        <v/>
      </c>
      <c r="O42" s="7" t="inlineStr">
        <is>
          <t>Teléfono encontrado en directorio, pero la dirección de esa ficha aparece en Obarrio, no en Parque Lefevre — podría ser otro 'La Fontana'. Confirmar antes de llamar.</t>
        </is>
      </c>
    </row>
    <row r="43">
      <c r="A43" s="6">
        <f>IF(B43="","",ROW()-1)</f>
        <v/>
      </c>
      <c r="B43" s="7" t="inlineStr">
        <is>
          <t>Puente del Rey</t>
        </is>
      </c>
      <c r="C43" s="7" t="inlineStr">
        <is>
          <t>PH/Residencial</t>
        </is>
      </c>
      <c r="D43" s="7" t="inlineStr">
        <is>
          <t>Costa del Este</t>
        </is>
      </c>
      <c r="E43" s="7" t="inlineStr">
        <is>
          <t>Parque Lefevre, Panamá</t>
        </is>
      </c>
      <c r="F43" s="7" t="inlineStr"/>
      <c r="G43" s="7" t="inlineStr"/>
      <c r="H43" s="7" t="inlineStr"/>
      <c r="I43" s="7" t="inlineStr"/>
      <c r="J43" t="inlineStr">
        <is>
          <t>No</t>
        </is>
      </c>
      <c r="K43" s="7" t="inlineStr">
        <is>
          <t>Sin verificar</t>
        </is>
      </c>
      <c r="L43" s="8">
        <f>IF(B43="","",IF(COUNTIFS($B$2:B43,B43,$D$2:D43,D43)&gt;1,"SI","NO"))</f>
        <v/>
      </c>
      <c r="M43" s="8">
        <f>IF(G43="","",IF(AND(ISNUMBER(SEARCH("@",G43)),ISNUMBER(SEARCH(".",G43,SEARCH("@",G43))),LEN(G43)-LEN(SUBSTITUTE(G43,"@",""))=1,MID(G43,SEARCH("@",G43)+1,1)&lt;&gt;".",RIGHT(G43,1)&lt;&gt;"."),"Válido","Revisar"))</f>
        <v/>
      </c>
      <c r="N43" s="8">
        <f>IF(F43="","",IF(LEN(SUBSTITUTE(SUBSTITUTE(SUBSTITUTE(SUBSTITUTE(F43,"+507",""),"-",""),"(",""),")",""))=8,"Válido","Revisar"))</f>
        <v/>
      </c>
      <c r="O43" s="7" t="inlineStr">
        <is>
          <t>Encontrado vía TomTom Maps (POI residencial confirmado, existencia real). Sin teléfono público listado — verificar en portería o con la administración en persona.</t>
        </is>
      </c>
    </row>
    <row r="44">
      <c r="A44" s="6">
        <f>IF(B44="","",ROW()-1)</f>
        <v/>
      </c>
      <c r="B44" s="7" t="inlineStr">
        <is>
          <t>Jardines de Costa del Este</t>
        </is>
      </c>
      <c r="C44" s="7" t="inlineStr">
        <is>
          <t>PH/Residencial</t>
        </is>
      </c>
      <c r="D44" s="7" t="inlineStr">
        <is>
          <t>Costa del Este</t>
        </is>
      </c>
      <c r="E44" s="7" t="inlineStr">
        <is>
          <t>Parque Lefevre, Panamá</t>
        </is>
      </c>
      <c r="F44" s="7" t="inlineStr"/>
      <c r="G44" s="7" t="inlineStr"/>
      <c r="H44" s="7" t="inlineStr"/>
      <c r="I44" s="7" t="inlineStr"/>
      <c r="J44" t="inlineStr">
        <is>
          <t>No</t>
        </is>
      </c>
      <c r="K44" s="7" t="inlineStr">
        <is>
          <t>Sin verificar</t>
        </is>
      </c>
      <c r="L44" s="8">
        <f>IF(B44="","",IF(COUNTIFS($B$2:B44,B44,$D$2:D44,D44)&gt;1,"SI","NO"))</f>
        <v/>
      </c>
      <c r="M44" s="8">
        <f>IF(G44="","",IF(AND(ISNUMBER(SEARCH("@",G44)),ISNUMBER(SEARCH(".",G44,SEARCH("@",G44))),LEN(G44)-LEN(SUBSTITUTE(G44,"@",""))=1,MID(G44,SEARCH("@",G44)+1,1)&lt;&gt;".",RIGHT(G44,1)&lt;&gt;"."),"Válido","Revisar"))</f>
        <v/>
      </c>
      <c r="N44" s="8">
        <f>IF(F44="","",IF(LEN(SUBSTITUTE(SUBSTITUTE(SUBSTITUTE(SUBSTITUTE(F44,"+507",""),"-",""),"(",""),")",""))=8,"Válido","Revisar"))</f>
        <v/>
      </c>
      <c r="O44" s="7" t="inlineStr">
        <is>
          <t>Encontrado vía TomTom Maps (POI residencial confirmado, existencia real). Sin teléfono público listado — verificar en portería o con la administración en persona.</t>
        </is>
      </c>
    </row>
    <row r="45">
      <c r="A45" s="6">
        <f>IF(B45="","",ROW()-1)</f>
        <v/>
      </c>
      <c r="B45" s="7" t="inlineStr">
        <is>
          <t>Costa Azul (Juan Díaz)</t>
        </is>
      </c>
      <c r="C45" s="7" t="inlineStr">
        <is>
          <t>PH/Residencial</t>
        </is>
      </c>
      <c r="D45" s="7" t="inlineStr">
        <is>
          <t>Costa del Este</t>
        </is>
      </c>
      <c r="E45" s="7" t="inlineStr">
        <is>
          <t>Calle Arrecife, Juan Díaz, Panamá</t>
        </is>
      </c>
      <c r="F45" s="7" t="inlineStr"/>
      <c r="G45" s="7" t="inlineStr"/>
      <c r="H45" s="7" t="inlineStr"/>
      <c r="I45" s="7" t="inlineStr"/>
      <c r="J45" t="inlineStr">
        <is>
          <t>No</t>
        </is>
      </c>
      <c r="K45" s="7" t="inlineStr">
        <is>
          <t>Sin verificar</t>
        </is>
      </c>
      <c r="L45" s="8">
        <f>IF(B45="","",IF(COUNTIFS($B$2:B45,B45,$D$2:D45,D45)&gt;1,"SI","NO"))</f>
        <v/>
      </c>
      <c r="M45" s="8">
        <f>IF(G45="","",IF(AND(ISNUMBER(SEARCH("@",G45)),ISNUMBER(SEARCH(".",G45,SEARCH("@",G45))),LEN(G45)-LEN(SUBSTITUTE(G45,"@",""))=1,MID(G45,SEARCH("@",G45)+1,1)&lt;&gt;".",RIGHT(G45,1)&lt;&gt;"."),"Válido","Revisar"))</f>
        <v/>
      </c>
      <c r="N45" s="8">
        <f>IF(F45="","",IF(LEN(SUBSTITUTE(SUBSTITUTE(SUBSTITUTE(SUBSTITUTE(F45,"+507",""),"-",""),"(",""),")",""))=8,"Válido","Revisar"))</f>
        <v/>
      </c>
      <c r="O45" s="7" t="inlineStr">
        <is>
          <t>Encontrado vía TomTom Maps (POI residencial confirmado, existencia real). Sin teléfono público listado — verificar en portería o con la administración en persona.</t>
        </is>
      </c>
    </row>
    <row r="46">
      <c r="A46" s="6">
        <f>IF(B46="","",ROW()-1)</f>
        <v/>
      </c>
      <c r="B46" s="7" t="inlineStr">
        <is>
          <t>Casa Blanca</t>
        </is>
      </c>
      <c r="C46" s="7" t="inlineStr">
        <is>
          <t>PH/Residencial</t>
        </is>
      </c>
      <c r="D46" s="7" t="inlineStr">
        <is>
          <t>Costa del Este</t>
        </is>
      </c>
      <c r="E46" s="7" t="inlineStr">
        <is>
          <t>Parque Lefevre, Panamá</t>
        </is>
      </c>
      <c r="F46" s="7" t="inlineStr"/>
      <c r="G46" s="7" t="inlineStr"/>
      <c r="H46" s="7" t="inlineStr"/>
      <c r="I46" s="7" t="inlineStr"/>
      <c r="J46" t="inlineStr">
        <is>
          <t>No</t>
        </is>
      </c>
      <c r="K46" s="7" t="inlineStr">
        <is>
          <t>Sin verificar</t>
        </is>
      </c>
      <c r="L46" s="8">
        <f>IF(B46="","",IF(COUNTIFS($B$2:B46,B46,$D$2:D46,D46)&gt;1,"SI","NO"))</f>
        <v/>
      </c>
      <c r="M46" s="8">
        <f>IF(G46="","",IF(AND(ISNUMBER(SEARCH("@",G46)),ISNUMBER(SEARCH(".",G46,SEARCH("@",G46))),LEN(G46)-LEN(SUBSTITUTE(G46,"@",""))=1,MID(G46,SEARCH("@",G46)+1,1)&lt;&gt;".",RIGHT(G46,1)&lt;&gt;"."),"Válido","Revisar"))</f>
        <v/>
      </c>
      <c r="N46" s="8">
        <f>IF(F46="","",IF(LEN(SUBSTITUTE(SUBSTITUTE(SUBSTITUTE(SUBSTITUTE(F46,"+507",""),"-",""),"(",""),")",""))=8,"Válido","Revisar"))</f>
        <v/>
      </c>
      <c r="O46" s="7" t="inlineStr">
        <is>
          <t>Encontrado vía TomTom Maps (POI residencial confirmado, existencia real). Sin teléfono público listado — verificar en portería o con la administración en persona.</t>
        </is>
      </c>
    </row>
    <row r="47">
      <c r="A47" s="6">
        <f>IF(B47="","",ROW()-1)</f>
        <v/>
      </c>
      <c r="B47" s="7" t="inlineStr">
        <is>
          <t>Costa Bay</t>
        </is>
      </c>
      <c r="C47" s="7" t="inlineStr">
        <is>
          <t>PH/Residencial</t>
        </is>
      </c>
      <c r="D47" s="7" t="inlineStr">
        <is>
          <t>Costa del Este</t>
        </is>
      </c>
      <c r="E47" s="7" t="inlineStr">
        <is>
          <t>Calle Chipre, Juan Díaz, Panamá</t>
        </is>
      </c>
      <c r="F47" s="7" t="inlineStr"/>
      <c r="G47" s="7" t="inlineStr"/>
      <c r="H47" s="7" t="inlineStr"/>
      <c r="I47" s="7" t="inlineStr"/>
      <c r="J47" t="inlineStr">
        <is>
          <t>No</t>
        </is>
      </c>
      <c r="K47" s="7" t="inlineStr">
        <is>
          <t>Sin verificar</t>
        </is>
      </c>
      <c r="L47" s="8">
        <f>IF(B47="","",IF(COUNTIFS($B$2:B47,B47,$D$2:D47,D47)&gt;1,"SI","NO"))</f>
        <v/>
      </c>
      <c r="M47" s="8">
        <f>IF(G47="","",IF(AND(ISNUMBER(SEARCH("@",G47)),ISNUMBER(SEARCH(".",G47,SEARCH("@",G47))),LEN(G47)-LEN(SUBSTITUTE(G47,"@",""))=1,MID(G47,SEARCH("@",G47)+1,1)&lt;&gt;".",RIGHT(G47,1)&lt;&gt;"."),"Válido","Revisar"))</f>
        <v/>
      </c>
      <c r="N47" s="8">
        <f>IF(F47="","",IF(LEN(SUBSTITUTE(SUBSTITUTE(SUBSTITUTE(SUBSTITUTE(F47,"+507",""),"-",""),"(",""),")",""))=8,"Válido","Revisar"))</f>
        <v/>
      </c>
      <c r="O47" s="7" t="inlineStr">
        <is>
          <t>Encontrado vía TomTom Maps (POI residencial confirmado, existencia real). Sin teléfono público listado — verificar en portería o con la administración en persona.</t>
        </is>
      </c>
    </row>
    <row r="48">
      <c r="A48" s="6">
        <f>IF(B48="","",ROW()-1)</f>
        <v/>
      </c>
      <c r="B48" s="7" t="inlineStr">
        <is>
          <t>P.H. Residencial Santa Elena</t>
        </is>
      </c>
      <c r="C48" s="7" t="inlineStr">
        <is>
          <t>PH/Residencial</t>
        </is>
      </c>
      <c r="D48" s="7" t="inlineStr">
        <is>
          <t>Costa del Este</t>
        </is>
      </c>
      <c r="E48" s="7" t="inlineStr">
        <is>
          <t>Parque Lefevre, Panamá</t>
        </is>
      </c>
      <c r="F48" s="7" t="inlineStr"/>
      <c r="G48" s="7" t="inlineStr"/>
      <c r="H48" s="7" t="inlineStr"/>
      <c r="I48" s="7" t="inlineStr"/>
      <c r="J48" t="inlineStr">
        <is>
          <t>No</t>
        </is>
      </c>
      <c r="K48" s="7" t="inlineStr">
        <is>
          <t>Sin verificar</t>
        </is>
      </c>
      <c r="L48" s="8">
        <f>IF(B48="","",IF(COUNTIFS($B$2:B48,B48,$D$2:D48,D48)&gt;1,"SI","NO"))</f>
        <v/>
      </c>
      <c r="M48" s="8">
        <f>IF(G48="","",IF(AND(ISNUMBER(SEARCH("@",G48)),ISNUMBER(SEARCH(".",G48,SEARCH("@",G48))),LEN(G48)-LEN(SUBSTITUTE(G48,"@",""))=1,MID(G48,SEARCH("@",G48)+1,1)&lt;&gt;".",RIGHT(G48,1)&lt;&gt;"."),"Válido","Revisar"))</f>
        <v/>
      </c>
      <c r="N48" s="8">
        <f>IF(F48="","",IF(LEN(SUBSTITUTE(SUBSTITUTE(SUBSTITUTE(SUBSTITUTE(F48,"+507",""),"-",""),"(",""),")",""))=8,"Válido","Revisar"))</f>
        <v/>
      </c>
      <c r="O48" s="7" t="inlineStr">
        <is>
          <t>Encontrado vía TomTom Maps (POI residencial confirmado, existencia real). Sin teléfono público listado — verificar en portería o con la administración en persona.</t>
        </is>
      </c>
    </row>
    <row r="49">
      <c r="A49" s="6">
        <f>IF(B49="","",ROW()-1)</f>
        <v/>
      </c>
      <c r="B49" s="7" t="inlineStr">
        <is>
          <t>Panamá Viejo (Cincuentenario)</t>
        </is>
      </c>
      <c r="C49" s="7" t="inlineStr">
        <is>
          <t>PH/Residencial</t>
        </is>
      </c>
      <c r="D49" s="7" t="inlineStr">
        <is>
          <t>Costa del Este</t>
        </is>
      </c>
      <c r="E49" s="7" t="inlineStr">
        <is>
          <t>Avenida Cincuentenario, Parque Lefevre, Panamá</t>
        </is>
      </c>
      <c r="F49" s="7" t="inlineStr"/>
      <c r="G49" s="7" t="inlineStr"/>
      <c r="H49" s="7" t="inlineStr"/>
      <c r="I49" s="7" t="inlineStr"/>
      <c r="J49" t="inlineStr">
        <is>
          <t>No</t>
        </is>
      </c>
      <c r="K49" s="7" t="inlineStr">
        <is>
          <t>Sin verificar</t>
        </is>
      </c>
      <c r="L49" s="8">
        <f>IF(B49="","",IF(COUNTIFS($B$2:B49,B49,$D$2:D49,D49)&gt;1,"SI","NO"))</f>
        <v/>
      </c>
      <c r="M49" s="8">
        <f>IF(G49="","",IF(AND(ISNUMBER(SEARCH("@",G49)),ISNUMBER(SEARCH(".",G49,SEARCH("@",G49))),LEN(G49)-LEN(SUBSTITUTE(G49,"@",""))=1,MID(G49,SEARCH("@",G49)+1,1)&lt;&gt;".",RIGHT(G49,1)&lt;&gt;"."),"Válido","Revisar"))</f>
        <v/>
      </c>
      <c r="N49" s="8">
        <f>IF(F49="","",IF(LEN(SUBSTITUTE(SUBSTITUTE(SUBSTITUTE(SUBSTITUTE(F49,"+507",""),"-",""),"(",""),")",""))=8,"Válido","Revisar"))</f>
        <v/>
      </c>
      <c r="O49" s="7" t="inlineStr">
        <is>
          <t>Encontrado vía TomTom Maps (POI residencial confirmado, existencia real). Sin teléfono público listado — verificar en portería o con la administración en persona.</t>
        </is>
      </c>
    </row>
    <row r="50">
      <c r="A50" s="6">
        <f>IF(B50="","",ROW()-1)</f>
        <v/>
      </c>
      <c r="B50" s="7" t="inlineStr">
        <is>
          <t>P.H. Acqua I</t>
        </is>
      </c>
      <c r="C50" s="7" t="inlineStr">
        <is>
          <t>PH/Residencial</t>
        </is>
      </c>
      <c r="D50" s="7" t="inlineStr">
        <is>
          <t>Costa del Este</t>
        </is>
      </c>
      <c r="E50" s="7" t="inlineStr">
        <is>
          <t>Juan Díaz, Panamá</t>
        </is>
      </c>
      <c r="F50" s="7" t="inlineStr"/>
      <c r="G50" s="7" t="inlineStr"/>
      <c r="H50" s="7" t="inlineStr"/>
      <c r="I50" s="7" t="inlineStr"/>
      <c r="J50" t="inlineStr">
        <is>
          <t>No</t>
        </is>
      </c>
      <c r="K50" s="7" t="inlineStr">
        <is>
          <t>Sin verificar</t>
        </is>
      </c>
      <c r="L50" s="8">
        <f>IF(B50="","",IF(COUNTIFS($B$2:B50,B50,$D$2:D50,D50)&gt;1,"SI","NO"))</f>
        <v/>
      </c>
      <c r="M50" s="8">
        <f>IF(G50="","",IF(AND(ISNUMBER(SEARCH("@",G50)),ISNUMBER(SEARCH(".",G50,SEARCH("@",G50))),LEN(G50)-LEN(SUBSTITUTE(G50,"@",""))=1,MID(G50,SEARCH("@",G50)+1,1)&lt;&gt;".",RIGHT(G50,1)&lt;&gt;"."),"Válido","Revisar"))</f>
        <v/>
      </c>
      <c r="N50" s="8">
        <f>IF(F50="","",IF(LEN(SUBSTITUTE(SUBSTITUTE(SUBSTITUTE(SUBSTITUTE(F50,"+507",""),"-",""),"(",""),")",""))=8,"Válido","Revisar"))</f>
        <v/>
      </c>
      <c r="O50" s="7" t="inlineStr">
        <is>
          <t>Encontrado vía TomTom Maps (POI residencial confirmado, existencia real). Sin teléfono público listado — verificar en portería o con la administración en persona.</t>
        </is>
      </c>
    </row>
    <row r="51">
      <c r="A51" s="6">
        <f>IF(B51="","",ROW()-1)</f>
        <v/>
      </c>
      <c r="B51" s="7" t="inlineStr">
        <is>
          <t>Costa Serena</t>
        </is>
      </c>
      <c r="C51" s="7" t="inlineStr">
        <is>
          <t>PH/Residencial</t>
        </is>
      </c>
      <c r="D51" s="7" t="inlineStr">
        <is>
          <t>Costa del Este</t>
        </is>
      </c>
      <c r="E51" s="7" t="inlineStr">
        <is>
          <t>Juan Díaz, Panamá</t>
        </is>
      </c>
      <c r="F51" s="7" t="inlineStr"/>
      <c r="G51" s="7" t="inlineStr"/>
      <c r="H51" s="7" t="inlineStr"/>
      <c r="I51" s="7" t="inlineStr"/>
      <c r="J51" t="inlineStr">
        <is>
          <t>No</t>
        </is>
      </c>
      <c r="K51" s="7" t="inlineStr">
        <is>
          <t>Sin verificar</t>
        </is>
      </c>
      <c r="L51" s="8">
        <f>IF(B51="","",IF(COUNTIFS($B$2:B51,B51,$D$2:D51,D51)&gt;1,"SI","NO"))</f>
        <v/>
      </c>
      <c r="M51" s="8">
        <f>IF(G51="","",IF(AND(ISNUMBER(SEARCH("@",G51)),ISNUMBER(SEARCH(".",G51,SEARCH("@",G51))),LEN(G51)-LEN(SUBSTITUTE(G51,"@",""))=1,MID(G51,SEARCH("@",G51)+1,1)&lt;&gt;".",RIGHT(G51,1)&lt;&gt;"."),"Válido","Revisar"))</f>
        <v/>
      </c>
      <c r="N51" s="8">
        <f>IF(F51="","",IF(LEN(SUBSTITUTE(SUBSTITUTE(SUBSTITUTE(SUBSTITUTE(F51,"+507",""),"-",""),"(",""),")",""))=8,"Válido","Revisar"))</f>
        <v/>
      </c>
      <c r="O51" s="7" t="inlineStr">
        <is>
          <t>Encontrado vía TomTom Maps (POI residencial confirmado, existencia real). Sin teléfono público listado — verificar en portería o con la administración en persona.</t>
        </is>
      </c>
    </row>
    <row r="52">
      <c r="A52" s="6">
        <f>IF(B52="","",ROW()-1)</f>
        <v/>
      </c>
      <c r="B52" s="7" t="inlineStr">
        <is>
          <t>P.H. Acqua II</t>
        </is>
      </c>
      <c r="C52" s="7" t="inlineStr">
        <is>
          <t>PH/Residencial</t>
        </is>
      </c>
      <c r="D52" s="7" t="inlineStr">
        <is>
          <t>Costa del Este</t>
        </is>
      </c>
      <c r="E52" s="7" t="inlineStr">
        <is>
          <t>Juan Díaz, Panamá</t>
        </is>
      </c>
      <c r="F52" s="7" t="inlineStr"/>
      <c r="G52" s="7" t="inlineStr"/>
      <c r="H52" s="7" t="inlineStr"/>
      <c r="I52" s="7" t="inlineStr"/>
      <c r="J52" t="inlineStr">
        <is>
          <t>No</t>
        </is>
      </c>
      <c r="K52" s="7" t="inlineStr">
        <is>
          <t>Sin verificar</t>
        </is>
      </c>
      <c r="L52" s="8">
        <f>IF(B52="","",IF(COUNTIFS($B$2:B52,B52,$D$2:D52,D52)&gt;1,"SI","NO"))</f>
        <v/>
      </c>
      <c r="M52" s="8">
        <f>IF(G52="","",IF(AND(ISNUMBER(SEARCH("@",G52)),ISNUMBER(SEARCH(".",G52,SEARCH("@",G52))),LEN(G52)-LEN(SUBSTITUTE(G52,"@",""))=1,MID(G52,SEARCH("@",G52)+1,1)&lt;&gt;".",RIGHT(G52,1)&lt;&gt;"."),"Válido","Revisar"))</f>
        <v/>
      </c>
      <c r="N52" s="8">
        <f>IF(F52="","",IF(LEN(SUBSTITUTE(SUBSTITUTE(SUBSTITUTE(SUBSTITUTE(F52,"+507",""),"-",""),"(",""),")",""))=8,"Válido","Revisar"))</f>
        <v/>
      </c>
      <c r="O52" s="7" t="inlineStr">
        <is>
          <t>Encontrado vía TomTom Maps (POI residencial confirmado, existencia real). Sin teléfono público listado — verificar en portería o con la administración en persona.</t>
        </is>
      </c>
    </row>
    <row r="53">
      <c r="A53" s="6">
        <f>IF(B53="","",ROW()-1)</f>
        <v/>
      </c>
      <c r="B53" s="7" t="inlineStr">
        <is>
          <t>Altos del Romeral</t>
        </is>
      </c>
      <c r="C53" s="7" t="inlineStr">
        <is>
          <t>PH/Residencial</t>
        </is>
      </c>
      <c r="D53" s="7" t="inlineStr">
        <is>
          <t>Costa del Este</t>
        </is>
      </c>
      <c r="E53" s="7" t="inlineStr">
        <is>
          <t>Calle La Gran Via, Parque Lefevre, Panamá</t>
        </is>
      </c>
      <c r="F53" s="7" t="inlineStr"/>
      <c r="G53" s="7" t="inlineStr"/>
      <c r="H53" s="7" t="inlineStr"/>
      <c r="I53" s="7" t="inlineStr"/>
      <c r="J53" t="inlineStr">
        <is>
          <t>No</t>
        </is>
      </c>
      <c r="K53" s="7" t="inlineStr">
        <is>
          <t>Sin verificar</t>
        </is>
      </c>
      <c r="L53" s="8">
        <f>IF(B53="","",IF(COUNTIFS($B$2:B53,B53,$D$2:D53,D53)&gt;1,"SI","NO"))</f>
        <v/>
      </c>
      <c r="M53" s="8">
        <f>IF(G53="","",IF(AND(ISNUMBER(SEARCH("@",G53)),ISNUMBER(SEARCH(".",G53,SEARCH("@",G53))),LEN(G53)-LEN(SUBSTITUTE(G53,"@",""))=1,MID(G53,SEARCH("@",G53)+1,1)&lt;&gt;".",RIGHT(G53,1)&lt;&gt;"."),"Válido","Revisar"))</f>
        <v/>
      </c>
      <c r="N53" s="8">
        <f>IF(F53="","",IF(LEN(SUBSTITUTE(SUBSTITUTE(SUBSTITUTE(SUBSTITUTE(F53,"+507",""),"-",""),"(",""),")",""))=8,"Válido","Revisar"))</f>
        <v/>
      </c>
      <c r="O53" s="7" t="inlineStr">
        <is>
          <t>Encontrado vía TomTom Maps (POI residencial confirmado, existencia real). Sin teléfono público listado — verificar en portería o con la administración en persona.</t>
        </is>
      </c>
    </row>
    <row r="54">
      <c r="A54" s="6">
        <f>IF(B54="","",ROW()-1)</f>
        <v/>
      </c>
      <c r="B54" s="7" t="inlineStr">
        <is>
          <t>Costa de Las Perlas</t>
        </is>
      </c>
      <c r="C54" s="7" t="inlineStr">
        <is>
          <t>PH/Residencial</t>
        </is>
      </c>
      <c r="D54" s="7" t="inlineStr">
        <is>
          <t>Costa del Este</t>
        </is>
      </c>
      <c r="E54" s="7" t="inlineStr">
        <is>
          <t>Calle Principal, Juan Díaz, Panamá</t>
        </is>
      </c>
      <c r="F54" s="7" t="inlineStr"/>
      <c r="G54" s="7" t="inlineStr"/>
      <c r="H54" s="7" t="inlineStr"/>
      <c r="I54" s="7" t="inlineStr"/>
      <c r="J54" t="inlineStr">
        <is>
          <t>No</t>
        </is>
      </c>
      <c r="K54" s="7" t="inlineStr">
        <is>
          <t>Sin verificar</t>
        </is>
      </c>
      <c r="L54" s="8">
        <f>IF(B54="","",IF(COUNTIFS($B$2:B54,B54,$D$2:D54,D54)&gt;1,"SI","NO"))</f>
        <v/>
      </c>
      <c r="M54" s="8">
        <f>IF(G54="","",IF(AND(ISNUMBER(SEARCH("@",G54)),ISNUMBER(SEARCH(".",G54,SEARCH("@",G54))),LEN(G54)-LEN(SUBSTITUTE(G54,"@",""))=1,MID(G54,SEARCH("@",G54)+1,1)&lt;&gt;".",RIGHT(G54,1)&lt;&gt;"."),"Válido","Revisar"))</f>
        <v/>
      </c>
      <c r="N54" s="8">
        <f>IF(F54="","",IF(LEN(SUBSTITUTE(SUBSTITUTE(SUBSTITUTE(SUBSTITUTE(F54,"+507",""),"-",""),"(",""),")",""))=8,"Válido","Revisar"))</f>
        <v/>
      </c>
      <c r="O54" s="7" t="inlineStr">
        <is>
          <t>Encontrado vía TomTom Maps (POI residencial confirmado, existencia real). Sin teléfono público listado — verificar en portería o con la administración en persona.</t>
        </is>
      </c>
    </row>
    <row r="55">
      <c r="A55" s="6">
        <f>IF(B55="","",ROW()-1)</f>
        <v/>
      </c>
      <c r="B55" s="7" t="inlineStr">
        <is>
          <t>Paseo del Mar (Juan Díaz)</t>
        </is>
      </c>
      <c r="C55" s="7" t="inlineStr">
        <is>
          <t>PH/Residencial</t>
        </is>
      </c>
      <c r="D55" s="7" t="inlineStr">
        <is>
          <t>Costa del Este</t>
        </is>
      </c>
      <c r="E55" s="7" t="inlineStr">
        <is>
          <t>Juan Díaz, Panamá</t>
        </is>
      </c>
      <c r="F55" s="7" t="inlineStr"/>
      <c r="G55" s="7" t="inlineStr"/>
      <c r="H55" s="7" t="inlineStr"/>
      <c r="I55" s="7" t="inlineStr"/>
      <c r="J55" t="inlineStr">
        <is>
          <t>No</t>
        </is>
      </c>
      <c r="K55" s="7" t="inlineStr">
        <is>
          <t>Sin verificar</t>
        </is>
      </c>
      <c r="L55" s="8">
        <f>IF(B55="","",IF(COUNTIFS($B$2:B55,B55,$D$2:D55,D55)&gt;1,"SI","NO"))</f>
        <v/>
      </c>
      <c r="M55" s="8">
        <f>IF(G55="","",IF(AND(ISNUMBER(SEARCH("@",G55)),ISNUMBER(SEARCH(".",G55,SEARCH("@",G55))),LEN(G55)-LEN(SUBSTITUTE(G55,"@",""))=1,MID(G55,SEARCH("@",G55)+1,1)&lt;&gt;".",RIGHT(G55,1)&lt;&gt;"."),"Válido","Revisar"))</f>
        <v/>
      </c>
      <c r="N55" s="8">
        <f>IF(F55="","",IF(LEN(SUBSTITUTE(SUBSTITUTE(SUBSTITUTE(SUBSTITUTE(F55,"+507",""),"-",""),"(",""),")",""))=8,"Válido","Revisar"))</f>
        <v/>
      </c>
      <c r="O55" s="7" t="inlineStr">
        <is>
          <t>Encontrado vía TomTom Maps (POI residencial confirmado, existencia real). Sin teléfono público listado — verificar en portería o con la administración en persona.</t>
        </is>
      </c>
    </row>
    <row r="56">
      <c r="A56" s="6">
        <f>IF(B56="","",ROW()-1)</f>
        <v/>
      </c>
      <c r="B56" s="7" t="inlineStr">
        <is>
          <t>P.H. Park 24</t>
        </is>
      </c>
      <c r="C56" s="7" t="inlineStr">
        <is>
          <t>PH/Residencial</t>
        </is>
      </c>
      <c r="D56" s="7" t="inlineStr">
        <is>
          <t>Costa del Este</t>
        </is>
      </c>
      <c r="E56" s="7" t="inlineStr">
        <is>
          <t>Parque Lefevre, Panamá</t>
        </is>
      </c>
      <c r="F56" s="7" t="inlineStr"/>
      <c r="G56" s="7" t="inlineStr"/>
      <c r="H56" s="7" t="inlineStr"/>
      <c r="I56" s="7" t="inlineStr"/>
      <c r="J56" t="inlineStr">
        <is>
          <t>No</t>
        </is>
      </c>
      <c r="K56" s="7" t="inlineStr">
        <is>
          <t>Sin verificar</t>
        </is>
      </c>
      <c r="L56" s="8">
        <f>IF(B56="","",IF(COUNTIFS($B$2:B56,B56,$D$2:D56,D56)&gt;1,"SI","NO"))</f>
        <v/>
      </c>
      <c r="M56" s="8">
        <f>IF(G56="","",IF(AND(ISNUMBER(SEARCH("@",G56)),ISNUMBER(SEARCH(".",G56,SEARCH("@",G56))),LEN(G56)-LEN(SUBSTITUTE(G56,"@",""))=1,MID(G56,SEARCH("@",G56)+1,1)&lt;&gt;".",RIGHT(G56,1)&lt;&gt;"."),"Válido","Revisar"))</f>
        <v/>
      </c>
      <c r="N56" s="8">
        <f>IF(F56="","",IF(LEN(SUBSTITUTE(SUBSTITUTE(SUBSTITUTE(SUBSTITUTE(F56,"+507",""),"-",""),"(",""),")",""))=8,"Válido","Revisar"))</f>
        <v/>
      </c>
      <c r="O56" s="7" t="inlineStr">
        <is>
          <t>Encontrado vía TomTom Maps (POI residencial confirmado, existencia real). Sin teléfono público listado — verificar en portería o con la administración en persona.</t>
        </is>
      </c>
    </row>
    <row r="57">
      <c r="A57" s="6">
        <f>IF(B57="","",ROW()-1)</f>
        <v/>
      </c>
      <c r="B57" s="7" t="inlineStr">
        <is>
          <t>Costa Bella</t>
        </is>
      </c>
      <c r="C57" s="7" t="inlineStr">
        <is>
          <t>PH/Residencial</t>
        </is>
      </c>
      <c r="D57" s="7" t="inlineStr">
        <is>
          <t>Costa del Este</t>
        </is>
      </c>
      <c r="E57" s="7" t="inlineStr">
        <is>
          <t>Calle Costa Bay, Juan Díaz, Panamá</t>
        </is>
      </c>
      <c r="F57" s="7" t="inlineStr"/>
      <c r="G57" s="7" t="inlineStr"/>
      <c r="H57" s="7" t="inlineStr"/>
      <c r="I57" s="7" t="inlineStr"/>
      <c r="J57" t="inlineStr">
        <is>
          <t>No</t>
        </is>
      </c>
      <c r="K57" s="7" t="inlineStr">
        <is>
          <t>Sin verificar</t>
        </is>
      </c>
      <c r="L57" s="8">
        <f>IF(B57="","",IF(COUNTIFS($B$2:B57,B57,$D$2:D57,D57)&gt;1,"SI","NO"))</f>
        <v/>
      </c>
      <c r="M57" s="8">
        <f>IF(G57="","",IF(AND(ISNUMBER(SEARCH("@",G57)),ISNUMBER(SEARCH(".",G57,SEARCH("@",G57))),LEN(G57)-LEN(SUBSTITUTE(G57,"@",""))=1,MID(G57,SEARCH("@",G57)+1,1)&lt;&gt;".",RIGHT(G57,1)&lt;&gt;"."),"Válido","Revisar"))</f>
        <v/>
      </c>
      <c r="N57" s="8">
        <f>IF(F57="","",IF(LEN(SUBSTITUTE(SUBSTITUTE(SUBSTITUTE(SUBSTITUTE(F57,"+507",""),"-",""),"(",""),")",""))=8,"Válido","Revisar"))</f>
        <v/>
      </c>
      <c r="O57" s="7" t="inlineStr">
        <is>
          <t>Encontrado vía TomTom Maps (POI residencial confirmado, existencia real). Sin teléfono público listado — verificar en portería o con la administración en persona.</t>
        </is>
      </c>
    </row>
    <row r="58">
      <c r="A58" s="6">
        <f>IF(B58="","",ROW()-1)</f>
        <v/>
      </c>
      <c r="B58" s="7" t="inlineStr">
        <is>
          <t>Veranda</t>
        </is>
      </c>
      <c r="C58" s="7" t="inlineStr">
        <is>
          <t>PH/Residencial</t>
        </is>
      </c>
      <c r="D58" s="7" t="inlineStr">
        <is>
          <t>Costa del Este</t>
        </is>
      </c>
      <c r="E58" s="7" t="inlineStr">
        <is>
          <t>Juan Díaz, Panamá</t>
        </is>
      </c>
      <c r="F58" s="7" t="inlineStr"/>
      <c r="G58" s="7" t="inlineStr"/>
      <c r="H58" s="7" t="inlineStr"/>
      <c r="I58" s="7" t="inlineStr"/>
      <c r="J58" t="inlineStr">
        <is>
          <t>No</t>
        </is>
      </c>
      <c r="K58" s="7" t="inlineStr">
        <is>
          <t>Sin verificar</t>
        </is>
      </c>
      <c r="L58" s="8">
        <f>IF(B58="","",IF(COUNTIFS($B$2:B58,B58,$D$2:D58,D58)&gt;1,"SI","NO"))</f>
        <v/>
      </c>
      <c r="M58" s="8">
        <f>IF(G58="","",IF(AND(ISNUMBER(SEARCH("@",G58)),ISNUMBER(SEARCH(".",G58,SEARCH("@",G58))),LEN(G58)-LEN(SUBSTITUTE(G58,"@",""))=1,MID(G58,SEARCH("@",G58)+1,1)&lt;&gt;".",RIGHT(G58,1)&lt;&gt;"."),"Válido","Revisar"))</f>
        <v/>
      </c>
      <c r="N58" s="8">
        <f>IF(F58="","",IF(LEN(SUBSTITUTE(SUBSTITUTE(SUBSTITUTE(SUBSTITUTE(F58,"+507",""),"-",""),"(",""),")",""))=8,"Válido","Revisar"))</f>
        <v/>
      </c>
      <c r="O58" s="7" t="inlineStr">
        <is>
          <t>Encontrado vía TomTom Maps (POI residencial confirmado, existencia real). Sin teléfono público listado — verificar en portería o con la administración en persona.</t>
        </is>
      </c>
    </row>
    <row r="59">
      <c r="A59" s="6">
        <f>IF(B59="","",ROW()-1)</f>
        <v/>
      </c>
      <c r="B59" s="7" t="inlineStr">
        <is>
          <t>Balmoral</t>
        </is>
      </c>
      <c r="C59" s="7" t="inlineStr">
        <is>
          <t>PH/Residencial</t>
        </is>
      </c>
      <c r="D59" s="7" t="inlineStr">
        <is>
          <t>Costa del Este</t>
        </is>
      </c>
      <c r="E59" s="7" t="inlineStr">
        <is>
          <t>Avenida Centenario, Juan Díaz, Panamá</t>
        </is>
      </c>
      <c r="F59" s="7" t="inlineStr"/>
      <c r="G59" s="7" t="inlineStr"/>
      <c r="H59" s="7" t="inlineStr"/>
      <c r="I59" s="7" t="inlineStr"/>
      <c r="J59" t="inlineStr">
        <is>
          <t>No</t>
        </is>
      </c>
      <c r="K59" s="7" t="inlineStr">
        <is>
          <t>Sin verificar</t>
        </is>
      </c>
      <c r="L59" s="8">
        <f>IF(B59="","",IF(COUNTIFS($B$2:B59,B59,$D$2:D59,D59)&gt;1,"SI","NO"))</f>
        <v/>
      </c>
      <c r="M59" s="8">
        <f>IF(G59="","",IF(AND(ISNUMBER(SEARCH("@",G59)),ISNUMBER(SEARCH(".",G59,SEARCH("@",G59))),LEN(G59)-LEN(SUBSTITUTE(G59,"@",""))=1,MID(G59,SEARCH("@",G59)+1,1)&lt;&gt;".",RIGHT(G59,1)&lt;&gt;"."),"Válido","Revisar"))</f>
        <v/>
      </c>
      <c r="N59" s="8">
        <f>IF(F59="","",IF(LEN(SUBSTITUTE(SUBSTITUTE(SUBSTITUTE(SUBSTITUTE(F59,"+507",""),"-",""),"(",""),")",""))=8,"Válido","Revisar"))</f>
        <v/>
      </c>
      <c r="O59" s="7" t="inlineStr">
        <is>
          <t>Encontrado vía TomTom Maps (POI residencial confirmado, existencia real). Sin teléfono público listado — verificar en portería o con la administración en persona.</t>
        </is>
      </c>
    </row>
    <row r="60">
      <c r="A60" s="6">
        <f>IF(B60="","",ROW()-1)</f>
        <v/>
      </c>
      <c r="B60" s="7" t="inlineStr">
        <is>
          <t>Paseo del Mar (Puerta del Mar)</t>
        </is>
      </c>
      <c r="C60" s="7" t="inlineStr">
        <is>
          <t>PH/Residencial</t>
        </is>
      </c>
      <c r="D60" s="7" t="inlineStr">
        <is>
          <t>Costa del Este</t>
        </is>
      </c>
      <c r="E60" s="7" t="inlineStr">
        <is>
          <t>Puerta Del Mar, Juan Díaz, Panamá</t>
        </is>
      </c>
      <c r="F60" s="7" t="inlineStr"/>
      <c r="G60" s="7" t="inlineStr"/>
      <c r="H60" s="7" t="inlineStr"/>
      <c r="I60" s="7" t="inlineStr"/>
      <c r="J60" t="inlineStr">
        <is>
          <t>No</t>
        </is>
      </c>
      <c r="K60" s="7" t="inlineStr">
        <is>
          <t>Sin verificar</t>
        </is>
      </c>
      <c r="L60" s="8">
        <f>IF(B60="","",IF(COUNTIFS($B$2:B60,B60,$D$2:D60,D60)&gt;1,"SI","NO"))</f>
        <v/>
      </c>
      <c r="M60" s="8">
        <f>IF(G60="","",IF(AND(ISNUMBER(SEARCH("@",G60)),ISNUMBER(SEARCH(".",G60,SEARCH("@",G60))),LEN(G60)-LEN(SUBSTITUTE(G60,"@",""))=1,MID(G60,SEARCH("@",G60)+1,1)&lt;&gt;".",RIGHT(G60,1)&lt;&gt;"."),"Válido","Revisar"))</f>
        <v/>
      </c>
      <c r="N60" s="8">
        <f>IF(F60="","",IF(LEN(SUBSTITUTE(SUBSTITUTE(SUBSTITUTE(SUBSTITUTE(F60,"+507",""),"-",""),"(",""),")",""))=8,"Válido","Revisar"))</f>
        <v/>
      </c>
      <c r="O60" s="7" t="inlineStr">
        <is>
          <t>Encontrado vía TomTom Maps (POI residencial confirmado, existencia real). Sin teléfono público listado — verificar en portería o con la administración en persona.</t>
        </is>
      </c>
    </row>
    <row r="61">
      <c r="A61" s="6">
        <f>IF(B61="","",ROW()-1)</f>
        <v/>
      </c>
      <c r="B61" s="7" t="inlineStr">
        <is>
          <t>Costa Dorada</t>
        </is>
      </c>
      <c r="C61" s="7" t="inlineStr">
        <is>
          <t>PH/Residencial</t>
        </is>
      </c>
      <c r="D61" s="7" t="inlineStr">
        <is>
          <t>Costa del Este</t>
        </is>
      </c>
      <c r="E61" s="7" t="inlineStr">
        <is>
          <t>Juan Díaz, Panamá</t>
        </is>
      </c>
      <c r="F61" s="7" t="inlineStr"/>
      <c r="G61" s="7" t="inlineStr"/>
      <c r="H61" s="7" t="inlineStr"/>
      <c r="I61" s="7" t="inlineStr"/>
      <c r="J61" t="inlineStr">
        <is>
          <t>No</t>
        </is>
      </c>
      <c r="K61" s="7" t="inlineStr">
        <is>
          <t>Sin verificar</t>
        </is>
      </c>
      <c r="L61" s="8">
        <f>IF(B61="","",IF(COUNTIFS($B$2:B61,B61,$D$2:D61,D61)&gt;1,"SI","NO"))</f>
        <v/>
      </c>
      <c r="M61" s="8">
        <f>IF(G61="","",IF(AND(ISNUMBER(SEARCH("@",G61)),ISNUMBER(SEARCH(".",G61,SEARCH("@",G61))),LEN(G61)-LEN(SUBSTITUTE(G61,"@",""))=1,MID(G61,SEARCH("@",G61)+1,1)&lt;&gt;".",RIGHT(G61,1)&lt;&gt;"."),"Válido","Revisar"))</f>
        <v/>
      </c>
      <c r="N61" s="8">
        <f>IF(F61="","",IF(LEN(SUBSTITUTE(SUBSTITUTE(SUBSTITUTE(SUBSTITUTE(F61,"+507",""),"-",""),"(",""),")",""))=8,"Válido","Revisar"))</f>
        <v/>
      </c>
      <c r="O61" s="7" t="inlineStr">
        <is>
          <t>Encontrado vía TomTom Maps (POI residencial confirmado, existencia real). Sin teléfono público listado — verificar en portería o con la administración en persona.</t>
        </is>
      </c>
    </row>
    <row r="62">
      <c r="A62" s="6">
        <f>IF(B62="","",ROW()-1)</f>
        <v/>
      </c>
      <c r="B62" s="7" t="inlineStr">
        <is>
          <t>P.H. Parque Lefevre</t>
        </is>
      </c>
      <c r="C62" s="7" t="inlineStr">
        <is>
          <t>PH/Residencial</t>
        </is>
      </c>
      <c r="D62" s="7" t="inlineStr">
        <is>
          <t>Costa del Este</t>
        </is>
      </c>
      <c r="E62" s="7" t="inlineStr">
        <is>
          <t>Parque Lefevre, Panamá</t>
        </is>
      </c>
      <c r="F62" s="7" t="inlineStr"/>
      <c r="G62" s="7" t="inlineStr"/>
      <c r="H62" s="7" t="inlineStr"/>
      <c r="I62" s="7" t="inlineStr"/>
      <c r="J62" t="inlineStr">
        <is>
          <t>No</t>
        </is>
      </c>
      <c r="K62" s="7" t="inlineStr">
        <is>
          <t>Sin verificar</t>
        </is>
      </c>
      <c r="L62" s="8">
        <f>IF(B62="","",IF(COUNTIFS($B$2:B62,B62,$D$2:D62,D62)&gt;1,"SI","NO"))</f>
        <v/>
      </c>
      <c r="M62" s="8">
        <f>IF(G62="","",IF(AND(ISNUMBER(SEARCH("@",G62)),ISNUMBER(SEARCH(".",G62,SEARCH("@",G62))),LEN(G62)-LEN(SUBSTITUTE(G62,"@",""))=1,MID(G62,SEARCH("@",G62)+1,1)&lt;&gt;".",RIGHT(G62,1)&lt;&gt;"."),"Válido","Revisar"))</f>
        <v/>
      </c>
      <c r="N62" s="8">
        <f>IF(F62="","",IF(LEN(SUBSTITUTE(SUBSTITUTE(SUBSTITUTE(SUBSTITUTE(F62,"+507",""),"-",""),"(",""),")",""))=8,"Válido","Revisar"))</f>
        <v/>
      </c>
      <c r="O62" s="7" t="inlineStr">
        <is>
          <t>Encontrado vía TomTom Maps (POI residencial confirmado, existencia real). Sin teléfono público listado — verificar en portería o con la administración en persona.</t>
        </is>
      </c>
    </row>
    <row r="63">
      <c r="A63" s="6">
        <f>IF(B63="","",ROW()-1)</f>
        <v/>
      </c>
      <c r="B63" s="7" t="inlineStr">
        <is>
          <t>Residencial Parque del Este</t>
        </is>
      </c>
      <c r="C63" s="7" t="inlineStr">
        <is>
          <t>PH/Residencial</t>
        </is>
      </c>
      <c r="D63" s="7" t="inlineStr">
        <is>
          <t>Costa del Este</t>
        </is>
      </c>
      <c r="E63" s="7" t="inlineStr">
        <is>
          <t>Calle 112 Este, Juan Díaz, Panamá</t>
        </is>
      </c>
      <c r="F63" s="7" t="inlineStr"/>
      <c r="G63" s="7" t="inlineStr"/>
      <c r="H63" s="7" t="inlineStr"/>
      <c r="I63" s="7" t="inlineStr"/>
      <c r="J63" t="inlineStr">
        <is>
          <t>No</t>
        </is>
      </c>
      <c r="K63" s="7" t="inlineStr">
        <is>
          <t>Sin verificar</t>
        </is>
      </c>
      <c r="L63" s="8">
        <f>IF(B63="","",IF(COUNTIFS($B$2:B63,B63,$D$2:D63,D63)&gt;1,"SI","NO"))</f>
        <v/>
      </c>
      <c r="M63" s="8">
        <f>IF(G63="","",IF(AND(ISNUMBER(SEARCH("@",G63)),ISNUMBER(SEARCH(".",G63,SEARCH("@",G63))),LEN(G63)-LEN(SUBSTITUTE(G63,"@",""))=1,MID(G63,SEARCH("@",G63)+1,1)&lt;&gt;".",RIGHT(G63,1)&lt;&gt;"."),"Válido","Revisar"))</f>
        <v/>
      </c>
      <c r="N63" s="8">
        <f>IF(F63="","",IF(LEN(SUBSTITUTE(SUBSTITUTE(SUBSTITUTE(SUBSTITUTE(F63,"+507",""),"-",""),"(",""),")",""))=8,"Válido","Revisar"))</f>
        <v/>
      </c>
      <c r="O63" s="7" t="inlineStr">
        <is>
          <t>Encontrado vía TomTom Maps (POI residencial confirmado, existencia real). Sin teléfono público listado — verificar en portería o con la administración en persona.</t>
        </is>
      </c>
    </row>
    <row r="64">
      <c r="A64" s="6">
        <f>IF(B64="","",ROW()-1)</f>
        <v/>
      </c>
      <c r="B64" s="7" t="inlineStr">
        <is>
          <t>Antigua</t>
        </is>
      </c>
      <c r="C64" s="7" t="inlineStr">
        <is>
          <t>PH/Residencial</t>
        </is>
      </c>
      <c r="D64" s="7" t="inlineStr">
        <is>
          <t>Costa del Este</t>
        </is>
      </c>
      <c r="E64" s="7" t="inlineStr">
        <is>
          <t>Avenida San Agustín, Juan Díaz, Panamá</t>
        </is>
      </c>
      <c r="F64" s="7" t="inlineStr"/>
      <c r="G64" s="7" t="inlineStr"/>
      <c r="H64" s="7" t="inlineStr"/>
      <c r="I64" s="7" t="inlineStr"/>
      <c r="J64" t="inlineStr">
        <is>
          <t>No</t>
        </is>
      </c>
      <c r="K64" s="7" t="inlineStr">
        <is>
          <t>Sin verificar</t>
        </is>
      </c>
      <c r="L64" s="8">
        <f>IF(B64="","",IF(COUNTIFS($B$2:B64,B64,$D$2:D64,D64)&gt;1,"SI","NO"))</f>
        <v/>
      </c>
      <c r="M64" s="8">
        <f>IF(G64="","",IF(AND(ISNUMBER(SEARCH("@",G64)),ISNUMBER(SEARCH(".",G64,SEARCH("@",G64))),LEN(G64)-LEN(SUBSTITUTE(G64,"@",""))=1,MID(G64,SEARCH("@",G64)+1,1)&lt;&gt;".",RIGHT(G64,1)&lt;&gt;"."),"Válido","Revisar"))</f>
        <v/>
      </c>
      <c r="N64" s="8">
        <f>IF(F64="","",IF(LEN(SUBSTITUTE(SUBSTITUTE(SUBSTITUTE(SUBSTITUTE(F64,"+507",""),"-",""),"(",""),")",""))=8,"Válido","Revisar"))</f>
        <v/>
      </c>
      <c r="O64" s="7" t="inlineStr">
        <is>
          <t>Encontrado vía TomTom Maps (POI residencial confirmado, existencia real). Sin teléfono público listado — verificar en portería o con la administración en persona.</t>
        </is>
      </c>
    </row>
    <row r="65">
      <c r="A65" s="6">
        <f>IF(B65="","",ROW()-1)</f>
        <v/>
      </c>
      <c r="B65" s="7" t="inlineStr">
        <is>
          <t>Condominio Santa Barbara</t>
        </is>
      </c>
      <c r="C65" s="7" t="inlineStr">
        <is>
          <t>PH/Residencial</t>
        </is>
      </c>
      <c r="D65" s="7" t="inlineStr">
        <is>
          <t>Costa del Este</t>
        </is>
      </c>
      <c r="E65" s="7" t="inlineStr">
        <is>
          <t>Calle 99 Este, Parque Lefevre, Panamá</t>
        </is>
      </c>
      <c r="F65" s="7" t="inlineStr"/>
      <c r="G65" s="7" t="inlineStr"/>
      <c r="H65" s="7" t="inlineStr"/>
      <c r="I65" s="7" t="inlineStr"/>
      <c r="J65" t="inlineStr">
        <is>
          <t>No</t>
        </is>
      </c>
      <c r="K65" s="7" t="inlineStr">
        <is>
          <t>Sin verificar</t>
        </is>
      </c>
      <c r="L65" s="8">
        <f>IF(B65="","",IF(COUNTIFS($B$2:B65,B65,$D$2:D65,D65)&gt;1,"SI","NO"))</f>
        <v/>
      </c>
      <c r="M65" s="8">
        <f>IF(G65="","",IF(AND(ISNUMBER(SEARCH("@",G65)),ISNUMBER(SEARCH(".",G65,SEARCH("@",G65))),LEN(G65)-LEN(SUBSTITUTE(G65,"@",""))=1,MID(G65,SEARCH("@",G65)+1,1)&lt;&gt;".",RIGHT(G65,1)&lt;&gt;"."),"Válido","Revisar"))</f>
        <v/>
      </c>
      <c r="N65" s="8">
        <f>IF(F65="","",IF(LEN(SUBSTITUTE(SUBSTITUTE(SUBSTITUTE(SUBSTITUTE(F65,"+507",""),"-",""),"(",""),")",""))=8,"Válido","Revisar"))</f>
        <v/>
      </c>
      <c r="O65" s="7" t="inlineStr">
        <is>
          <t>Encontrado vía TomTom Maps (POI residencial confirmado, existencia real). Sin teléfono público listado — verificar en portería o con la administración en persona.</t>
        </is>
      </c>
    </row>
    <row r="66">
      <c r="A66" s="6">
        <f>IF(B66="","",ROW()-1)</f>
        <v/>
      </c>
      <c r="B66" s="7" t="inlineStr">
        <is>
          <t>Panamá Viejo (Calle 93C Este)</t>
        </is>
      </c>
      <c r="C66" s="7" t="inlineStr">
        <is>
          <t>PH/Residencial</t>
        </is>
      </c>
      <c r="D66" s="7" t="inlineStr">
        <is>
          <t>Costa del Este</t>
        </is>
      </c>
      <c r="E66" s="7" t="inlineStr">
        <is>
          <t>Calle 93 C Este, Parque Lefevre, Panamá</t>
        </is>
      </c>
      <c r="F66" s="7" t="inlineStr"/>
      <c r="G66" s="7" t="inlineStr"/>
      <c r="H66" s="7" t="inlineStr"/>
      <c r="I66" s="7" t="inlineStr"/>
      <c r="J66" t="inlineStr">
        <is>
          <t>No</t>
        </is>
      </c>
      <c r="K66" s="7" t="inlineStr">
        <is>
          <t>Sin verificar</t>
        </is>
      </c>
      <c r="L66" s="8">
        <f>IF(B66="","",IF(COUNTIFS($B$2:B66,B66,$D$2:D66,D66)&gt;1,"SI","NO"))</f>
        <v/>
      </c>
      <c r="M66" s="8">
        <f>IF(G66="","",IF(AND(ISNUMBER(SEARCH("@",G66)),ISNUMBER(SEARCH(".",G66,SEARCH("@",G66))),LEN(G66)-LEN(SUBSTITUTE(G66,"@",""))=1,MID(G66,SEARCH("@",G66)+1,1)&lt;&gt;".",RIGHT(G66,1)&lt;&gt;"."),"Válido","Revisar"))</f>
        <v/>
      </c>
      <c r="N66" s="8">
        <f>IF(F66="","",IF(LEN(SUBSTITUTE(SUBSTITUTE(SUBSTITUTE(SUBSTITUTE(F66,"+507",""),"-",""),"(",""),")",""))=8,"Válido","Revisar"))</f>
        <v/>
      </c>
      <c r="O66" s="7" t="inlineStr">
        <is>
          <t>Encontrado vía TomTom Maps (POI residencial confirmado, existencia real). Sin teléfono público listado — verificar en portería o con la administración en persona.</t>
        </is>
      </c>
    </row>
    <row r="67">
      <c r="A67" s="6">
        <f>IF(B67="","",ROW()-1)</f>
        <v/>
      </c>
      <c r="B67" s="7" t="inlineStr">
        <is>
          <t>Royal Pacific</t>
        </is>
      </c>
      <c r="C67" s="7" t="inlineStr">
        <is>
          <t>PH/Residencial</t>
        </is>
      </c>
      <c r="D67" s="7" t="inlineStr">
        <is>
          <t>Costa del Este</t>
        </is>
      </c>
      <c r="E67" s="7" t="inlineStr">
        <is>
          <t>Juan Díaz, Panamá</t>
        </is>
      </c>
      <c r="F67" s="7" t="inlineStr"/>
      <c r="G67" s="7" t="inlineStr"/>
      <c r="H67" s="7" t="inlineStr"/>
      <c r="I67" s="7" t="inlineStr"/>
      <c r="J67" t="inlineStr">
        <is>
          <t>No</t>
        </is>
      </c>
      <c r="K67" s="7" t="inlineStr">
        <is>
          <t>Sin verificar</t>
        </is>
      </c>
      <c r="L67" s="8">
        <f>IF(B67="","",IF(COUNTIFS($B$2:B67,B67,$D$2:D67,D67)&gt;1,"SI","NO"))</f>
        <v/>
      </c>
      <c r="M67" s="8">
        <f>IF(G67="","",IF(AND(ISNUMBER(SEARCH("@",G67)),ISNUMBER(SEARCH(".",G67,SEARCH("@",G67))),LEN(G67)-LEN(SUBSTITUTE(G67,"@",""))=1,MID(G67,SEARCH("@",G67)+1,1)&lt;&gt;".",RIGHT(G67,1)&lt;&gt;"."),"Válido","Revisar"))</f>
        <v/>
      </c>
      <c r="N67" s="8">
        <f>IF(F67="","",IF(LEN(SUBSTITUTE(SUBSTITUTE(SUBSTITUTE(SUBSTITUTE(F67,"+507",""),"-",""),"(",""),")",""))=8,"Válido","Revisar"))</f>
        <v/>
      </c>
      <c r="O67" s="7" t="inlineStr">
        <is>
          <t>Encontrado vía TomTom Maps (POI residencial confirmado, existencia real). Sin teléfono público listado — verificar en portería o con la administración en persona.</t>
        </is>
      </c>
    </row>
    <row r="68">
      <c r="A68" s="6">
        <f>IF(B68="","",ROW()-1)</f>
        <v/>
      </c>
      <c r="B68" s="7" t="inlineStr">
        <is>
          <t>Villa Lorena</t>
        </is>
      </c>
      <c r="C68" s="7" t="inlineStr">
        <is>
          <t>PH/Residencial</t>
        </is>
      </c>
      <c r="D68" s="7" t="inlineStr">
        <is>
          <t>Costa del Este</t>
        </is>
      </c>
      <c r="E68" s="7" t="inlineStr">
        <is>
          <t>Río Abajo, Panamá</t>
        </is>
      </c>
      <c r="F68" s="7" t="inlineStr"/>
      <c r="G68" s="7" t="inlineStr"/>
      <c r="H68" s="7" t="inlineStr"/>
      <c r="I68" s="7" t="inlineStr"/>
      <c r="J68" t="inlineStr">
        <is>
          <t>No</t>
        </is>
      </c>
      <c r="K68" s="7" t="inlineStr">
        <is>
          <t>Sin verificar</t>
        </is>
      </c>
      <c r="L68" s="8">
        <f>IF(B68="","",IF(COUNTIFS($B$2:B68,B68,$D$2:D68,D68)&gt;1,"SI","NO"))</f>
        <v/>
      </c>
      <c r="M68" s="8">
        <f>IF(G68="","",IF(AND(ISNUMBER(SEARCH("@",G68)),ISNUMBER(SEARCH(".",G68,SEARCH("@",G68))),LEN(G68)-LEN(SUBSTITUTE(G68,"@",""))=1,MID(G68,SEARCH("@",G68)+1,1)&lt;&gt;".",RIGHT(G68,1)&lt;&gt;"."),"Válido","Revisar"))</f>
        <v/>
      </c>
      <c r="N68" s="8">
        <f>IF(F68="","",IF(LEN(SUBSTITUTE(SUBSTITUTE(SUBSTITUTE(SUBSTITUTE(F68,"+507",""),"-",""),"(",""),")",""))=8,"Válido","Revisar"))</f>
        <v/>
      </c>
      <c r="O68" s="7" t="inlineStr">
        <is>
          <t>Encontrado vía TomTom Maps (POI residencial confirmado, existencia real). Sin teléfono público listado — verificar en portería o con la administración en persona.</t>
        </is>
      </c>
    </row>
    <row r="69">
      <c r="A69" s="6">
        <f>IF(B69="","",ROW()-1)</f>
        <v/>
      </c>
      <c r="B69" s="7" t="inlineStr">
        <is>
          <t>Condominios Las Reinas</t>
        </is>
      </c>
      <c r="C69" s="7" t="inlineStr">
        <is>
          <t>PH/Residencial</t>
        </is>
      </c>
      <c r="D69" s="7" t="inlineStr">
        <is>
          <t>Costa del Este</t>
        </is>
      </c>
      <c r="E69" s="7" t="inlineStr">
        <is>
          <t>Río Abajo, Panamá</t>
        </is>
      </c>
      <c r="F69" s="7" t="inlineStr"/>
      <c r="G69" s="7" t="inlineStr"/>
      <c r="H69" s="7" t="inlineStr"/>
      <c r="I69" s="7" t="inlineStr"/>
      <c r="J69" t="inlineStr">
        <is>
          <t>No</t>
        </is>
      </c>
      <c r="K69" s="7" t="inlineStr">
        <is>
          <t>Sin verificar</t>
        </is>
      </c>
      <c r="L69" s="8">
        <f>IF(B69="","",IF(COUNTIFS($B$2:B69,B69,$D$2:D69,D69)&gt;1,"SI","NO"))</f>
        <v/>
      </c>
      <c r="M69" s="8">
        <f>IF(G69="","",IF(AND(ISNUMBER(SEARCH("@",G69)),ISNUMBER(SEARCH(".",G69,SEARCH("@",G69))),LEN(G69)-LEN(SUBSTITUTE(G69,"@",""))=1,MID(G69,SEARCH("@",G69)+1,1)&lt;&gt;".",RIGHT(G69,1)&lt;&gt;"."),"Válido","Revisar"))</f>
        <v/>
      </c>
      <c r="N69" s="8">
        <f>IF(F69="","",IF(LEN(SUBSTITUTE(SUBSTITUTE(SUBSTITUTE(SUBSTITUTE(F69,"+507",""),"-",""),"(",""),")",""))=8,"Válido","Revisar"))</f>
        <v/>
      </c>
      <c r="O69" s="7" t="inlineStr">
        <is>
          <t>Encontrado vía TomTom Maps (POI residencial confirmado, existencia real). Sin teléfono público listado — verificar en portería o con la administración en persona.</t>
        </is>
      </c>
    </row>
    <row r="70">
      <c r="A70" s="6">
        <f>IF(B70="","",ROW()-1)</f>
        <v/>
      </c>
      <c r="B70" s="7" t="inlineStr">
        <is>
          <t>Torres de España</t>
        </is>
      </c>
      <c r="C70" s="7" t="inlineStr">
        <is>
          <t>PH/Residencial</t>
        </is>
      </c>
      <c r="D70" s="7" t="inlineStr">
        <is>
          <t>Costa del Este</t>
        </is>
      </c>
      <c r="E70" s="7" t="inlineStr">
        <is>
          <t>Río Abajo, Panamá</t>
        </is>
      </c>
      <c r="F70" s="7" t="inlineStr"/>
      <c r="G70" s="7" t="inlineStr"/>
      <c r="H70" s="7" t="inlineStr"/>
      <c r="I70" s="7" t="inlineStr"/>
      <c r="J70" t="inlineStr">
        <is>
          <t>No</t>
        </is>
      </c>
      <c r="K70" s="7" t="inlineStr">
        <is>
          <t>Sin verificar</t>
        </is>
      </c>
      <c r="L70" s="8">
        <f>IF(B70="","",IF(COUNTIFS($B$2:B70,B70,$D$2:D70,D70)&gt;1,"SI","NO"))</f>
        <v/>
      </c>
      <c r="M70" s="8">
        <f>IF(G70="","",IF(AND(ISNUMBER(SEARCH("@",G70)),ISNUMBER(SEARCH(".",G70,SEARCH("@",G70))),LEN(G70)-LEN(SUBSTITUTE(G70,"@",""))=1,MID(G70,SEARCH("@",G70)+1,1)&lt;&gt;".",RIGHT(G70,1)&lt;&gt;"."),"Válido","Revisar"))</f>
        <v/>
      </c>
      <c r="N70" s="8">
        <f>IF(F70="","",IF(LEN(SUBSTITUTE(SUBSTITUTE(SUBSTITUTE(SUBSTITUTE(F70,"+507",""),"-",""),"(",""),")",""))=8,"Válido","Revisar"))</f>
        <v/>
      </c>
      <c r="O70" s="7" t="inlineStr">
        <is>
          <t>Encontrado vía TomTom Maps (POI residencial confirmado, existencia real). Sin teléfono público listado — verificar en portería o con la administración en persona.</t>
        </is>
      </c>
    </row>
    <row r="71">
      <c r="A71" s="6">
        <f>IF(B71="","",ROW()-1)</f>
        <v/>
      </c>
      <c r="B71" s="7" t="inlineStr">
        <is>
          <t>P.H. Brisas</t>
        </is>
      </c>
      <c r="C71" s="7" t="inlineStr">
        <is>
          <t>PH/Residencial</t>
        </is>
      </c>
      <c r="D71" s="7" t="inlineStr">
        <is>
          <t>Costa del Este</t>
        </is>
      </c>
      <c r="E71" s="7" t="inlineStr">
        <is>
          <t>Río Abajo, Panamá</t>
        </is>
      </c>
      <c r="F71" s="7" t="inlineStr"/>
      <c r="G71" s="7" t="inlineStr"/>
      <c r="H71" s="7" t="inlineStr"/>
      <c r="I71" s="7" t="inlineStr"/>
      <c r="J71" t="inlineStr">
        <is>
          <t>No</t>
        </is>
      </c>
      <c r="K71" s="7" t="inlineStr">
        <is>
          <t>Sin verificar</t>
        </is>
      </c>
      <c r="L71" s="8">
        <f>IF(B71="","",IF(COUNTIFS($B$2:B71,B71,$D$2:D71,D71)&gt;1,"SI","NO"))</f>
        <v/>
      </c>
      <c r="M71" s="8">
        <f>IF(G71="","",IF(AND(ISNUMBER(SEARCH("@",G71)),ISNUMBER(SEARCH(".",G71,SEARCH("@",G71))),LEN(G71)-LEN(SUBSTITUTE(G71,"@",""))=1,MID(G71,SEARCH("@",G71)+1,1)&lt;&gt;".",RIGHT(G71,1)&lt;&gt;"."),"Válido","Revisar"))</f>
        <v/>
      </c>
      <c r="N71" s="8">
        <f>IF(F71="","",IF(LEN(SUBSTITUTE(SUBSTITUTE(SUBSTITUTE(SUBSTITUTE(F71,"+507",""),"-",""),"(",""),")",""))=8,"Válido","Revisar"))</f>
        <v/>
      </c>
      <c r="O71" s="7" t="inlineStr">
        <is>
          <t>Encontrado vía TomTom Maps (POI residencial confirmado, existencia real). Sin teléfono público listado — verificar en portería o con la administración en persona.</t>
        </is>
      </c>
    </row>
    <row r="72">
      <c r="A72" s="6">
        <f>IF(B72="","",ROW()-1)</f>
        <v/>
      </c>
      <c r="B72" s="7" t="inlineStr">
        <is>
          <t>Nuevo Altos del Río</t>
        </is>
      </c>
      <c r="C72" s="7" t="inlineStr">
        <is>
          <t>PH/Residencial</t>
        </is>
      </c>
      <c r="D72" s="7" t="inlineStr">
        <is>
          <t>Costa del Este</t>
        </is>
      </c>
      <c r="E72" s="7" t="inlineStr">
        <is>
          <t>Río Abajo, Panamá</t>
        </is>
      </c>
      <c r="F72" s="7" t="inlineStr"/>
      <c r="G72" s="7" t="inlineStr"/>
      <c r="H72" s="7" t="inlineStr"/>
      <c r="I72" s="7" t="inlineStr"/>
      <c r="J72" t="inlineStr">
        <is>
          <t>No</t>
        </is>
      </c>
      <c r="K72" s="7" t="inlineStr">
        <is>
          <t>Sin verificar</t>
        </is>
      </c>
      <c r="L72" s="8">
        <f>IF(B72="","",IF(COUNTIFS($B$2:B72,B72,$D$2:D72,D72)&gt;1,"SI","NO"))</f>
        <v/>
      </c>
      <c r="M72" s="8">
        <f>IF(G72="","",IF(AND(ISNUMBER(SEARCH("@",G72)),ISNUMBER(SEARCH(".",G72,SEARCH("@",G72))),LEN(G72)-LEN(SUBSTITUTE(G72,"@",""))=1,MID(G72,SEARCH("@",G72)+1,1)&lt;&gt;".",RIGHT(G72,1)&lt;&gt;"."),"Válido","Revisar"))</f>
        <v/>
      </c>
      <c r="N72" s="8">
        <f>IF(F72="","",IF(LEN(SUBSTITUTE(SUBSTITUTE(SUBSTITUTE(SUBSTITUTE(F72,"+507",""),"-",""),"(",""),")",""))=8,"Válido","Revisar"))</f>
        <v/>
      </c>
      <c r="O72" s="7" t="inlineStr">
        <is>
          <t>Encontrado vía TomTom Maps (POI residencial confirmado, existencia real). Sin teléfono público listado — verificar en portería o con la administración en persona.</t>
        </is>
      </c>
    </row>
    <row r="73">
      <c r="A73" s="6">
        <f>IF(B73="","",ROW()-1)</f>
        <v/>
      </c>
      <c r="B73" s="7" t="inlineStr">
        <is>
          <t>Palmera del Este</t>
        </is>
      </c>
      <c r="C73" s="7" t="inlineStr">
        <is>
          <t>PH/Residencial</t>
        </is>
      </c>
      <c r="D73" s="7" t="inlineStr">
        <is>
          <t>Costa del Este</t>
        </is>
      </c>
      <c r="E73" s="7" t="inlineStr">
        <is>
          <t>Juan Díaz, Panamá</t>
        </is>
      </c>
      <c r="F73" s="7" t="inlineStr"/>
      <c r="G73" s="7" t="inlineStr"/>
      <c r="H73" s="7" t="inlineStr"/>
      <c r="I73" s="7" t="inlineStr"/>
      <c r="J73" t="inlineStr">
        <is>
          <t>No</t>
        </is>
      </c>
      <c r="K73" s="7" t="inlineStr">
        <is>
          <t>Sin verificar</t>
        </is>
      </c>
      <c r="L73" s="8">
        <f>IF(B73="","",IF(COUNTIFS($B$2:B73,B73,$D$2:D73,D73)&gt;1,"SI","NO"))</f>
        <v/>
      </c>
      <c r="M73" s="8">
        <f>IF(G73="","",IF(AND(ISNUMBER(SEARCH("@",G73)),ISNUMBER(SEARCH(".",G73,SEARCH("@",G73))),LEN(G73)-LEN(SUBSTITUTE(G73,"@",""))=1,MID(G73,SEARCH("@",G73)+1,1)&lt;&gt;".",RIGHT(G73,1)&lt;&gt;"."),"Válido","Revisar"))</f>
        <v/>
      </c>
      <c r="N73" s="8">
        <f>IF(F73="","",IF(LEN(SUBSTITUTE(SUBSTITUTE(SUBSTITUTE(SUBSTITUTE(F73,"+507",""),"-",""),"(",""),")",""))=8,"Válido","Revisar"))</f>
        <v/>
      </c>
      <c r="O73" s="7" t="inlineStr">
        <is>
          <t>Encontrado vía TomTom Maps (POI residencial confirmado, existencia real). Sin teléfono público listado — verificar en portería o con la administración en persona.</t>
        </is>
      </c>
    </row>
    <row r="74">
      <c r="A74" s="6">
        <f>IF(B74="","",ROW()-1)</f>
        <v/>
      </c>
      <c r="B74" s="7" t="inlineStr">
        <is>
          <t>Toscana del Este</t>
        </is>
      </c>
      <c r="C74" s="7" t="inlineStr">
        <is>
          <t>PH/Residencial</t>
        </is>
      </c>
      <c r="D74" s="7" t="inlineStr">
        <is>
          <t>Costa del Este</t>
        </is>
      </c>
      <c r="E74" s="7" t="inlineStr">
        <is>
          <t>Juan Díaz, Panamá</t>
        </is>
      </c>
      <c r="F74" s="7" t="inlineStr"/>
      <c r="G74" s="7" t="inlineStr"/>
      <c r="H74" s="7" t="inlineStr"/>
      <c r="I74" s="7" t="inlineStr"/>
      <c r="J74" t="inlineStr">
        <is>
          <t>No</t>
        </is>
      </c>
      <c r="K74" s="7" t="inlineStr">
        <is>
          <t>Sin verificar</t>
        </is>
      </c>
      <c r="L74" s="8">
        <f>IF(B74="","",IF(COUNTIFS($B$2:B74,B74,$D$2:D74,D74)&gt;1,"SI","NO"))</f>
        <v/>
      </c>
      <c r="M74" s="8">
        <f>IF(G74="","",IF(AND(ISNUMBER(SEARCH("@",G74)),ISNUMBER(SEARCH(".",G74,SEARCH("@",G74))),LEN(G74)-LEN(SUBSTITUTE(G74,"@",""))=1,MID(G74,SEARCH("@",G74)+1,1)&lt;&gt;".",RIGHT(G74,1)&lt;&gt;"."),"Válido","Revisar"))</f>
        <v/>
      </c>
      <c r="N74" s="8">
        <f>IF(F74="","",IF(LEN(SUBSTITUTE(SUBSTITUTE(SUBSTITUTE(SUBSTITUTE(F74,"+507",""),"-",""),"(",""),")",""))=8,"Válido","Revisar"))</f>
        <v/>
      </c>
      <c r="O74" s="7" t="inlineStr">
        <is>
          <t>Encontrado vía TomTom Maps (POI residencial confirmado, existencia real). Sin teléfono público listado — verificar en portería o con la administración en persona.</t>
        </is>
      </c>
    </row>
    <row r="75">
      <c r="A75" s="6">
        <f>IF(B75="","",ROW()-1)</f>
        <v/>
      </c>
      <c r="B75" s="7" t="inlineStr">
        <is>
          <t>Magnolias</t>
        </is>
      </c>
      <c r="C75" s="7" t="inlineStr">
        <is>
          <t>PH/Residencial</t>
        </is>
      </c>
      <c r="D75" s="7" t="inlineStr">
        <is>
          <t>Costa del Este</t>
        </is>
      </c>
      <c r="E75" s="7" t="inlineStr">
        <is>
          <t>Juan Díaz, Panamá</t>
        </is>
      </c>
      <c r="F75" s="7" t="inlineStr"/>
      <c r="G75" s="7" t="inlineStr"/>
      <c r="H75" s="7" t="inlineStr"/>
      <c r="I75" s="7" t="inlineStr"/>
      <c r="J75" t="inlineStr">
        <is>
          <t>No</t>
        </is>
      </c>
      <c r="K75" s="7" t="inlineStr">
        <is>
          <t>Sin verificar</t>
        </is>
      </c>
      <c r="L75" s="8">
        <f>IF(B75="","",IF(COUNTIFS($B$2:B75,B75,$D$2:D75,D75)&gt;1,"SI","NO"))</f>
        <v/>
      </c>
      <c r="M75" s="8">
        <f>IF(G75="","",IF(AND(ISNUMBER(SEARCH("@",G75)),ISNUMBER(SEARCH(".",G75,SEARCH("@",G75))),LEN(G75)-LEN(SUBSTITUTE(G75,"@",""))=1,MID(G75,SEARCH("@",G75)+1,1)&lt;&gt;".",RIGHT(G75,1)&lt;&gt;"."),"Válido","Revisar"))</f>
        <v/>
      </c>
      <c r="N75" s="8">
        <f>IF(F75="","",IF(LEN(SUBSTITUTE(SUBSTITUTE(SUBSTITUTE(SUBSTITUTE(F75,"+507",""),"-",""),"(",""),")",""))=8,"Válido","Revisar"))</f>
        <v/>
      </c>
      <c r="O75" s="7" t="inlineStr">
        <is>
          <t>Encontrado vía TomTom Maps (POI residencial confirmado, existencia real). Sin teléfono público listado — verificar en portería o con la administración en persona.</t>
        </is>
      </c>
    </row>
    <row r="76">
      <c r="A76" s="6">
        <f>IF(B76="","",ROW()-1)</f>
        <v/>
      </c>
      <c r="B76" s="7" t="inlineStr">
        <is>
          <t>P.H. 19th Road</t>
        </is>
      </c>
      <c r="C76" s="7" t="inlineStr">
        <is>
          <t>PH/Residencial</t>
        </is>
      </c>
      <c r="D76" s="7" t="inlineStr">
        <is>
          <t>Costa del Este</t>
        </is>
      </c>
      <c r="E76" s="7" t="inlineStr">
        <is>
          <t>Río Abajo, Panamá</t>
        </is>
      </c>
      <c r="F76" s="7" t="inlineStr"/>
      <c r="G76" s="7" t="inlineStr"/>
      <c r="H76" s="7" t="inlineStr"/>
      <c r="I76" s="7" t="inlineStr"/>
      <c r="J76" t="inlineStr">
        <is>
          <t>No</t>
        </is>
      </c>
      <c r="K76" s="7" t="inlineStr">
        <is>
          <t>Sin verificar</t>
        </is>
      </c>
      <c r="L76" s="8">
        <f>IF(B76="","",IF(COUNTIFS($B$2:B76,B76,$D$2:D76,D76)&gt;1,"SI","NO"))</f>
        <v/>
      </c>
      <c r="M76" s="8">
        <f>IF(G76="","",IF(AND(ISNUMBER(SEARCH("@",G76)),ISNUMBER(SEARCH(".",G76,SEARCH("@",G76))),LEN(G76)-LEN(SUBSTITUTE(G76,"@",""))=1,MID(G76,SEARCH("@",G76)+1,1)&lt;&gt;".",RIGHT(G76,1)&lt;&gt;"."),"Válido","Revisar"))</f>
        <v/>
      </c>
      <c r="N76" s="8">
        <f>IF(F76="","",IF(LEN(SUBSTITUTE(SUBSTITUTE(SUBSTITUTE(SUBSTITUTE(F76,"+507",""),"-",""),"(",""),")",""))=8,"Válido","Revisar"))</f>
        <v/>
      </c>
      <c r="O76" s="7" t="inlineStr">
        <is>
          <t>Encontrado vía TomTom Maps (POI residencial confirmado, existencia real). Sin teléfono público listado — verificar en portería o con la administración en persona.</t>
        </is>
      </c>
    </row>
    <row r="77">
      <c r="A77" s="6">
        <f>IF(B77="","",ROW()-1)</f>
        <v/>
      </c>
      <c r="B77" s="7" t="inlineStr">
        <is>
          <t>P.H. Brisas del Caribe</t>
        </is>
      </c>
      <c r="C77" s="7" t="inlineStr">
        <is>
          <t>PH/Residencial</t>
        </is>
      </c>
      <c r="D77" s="7" t="inlineStr">
        <is>
          <t>Costa del Este</t>
        </is>
      </c>
      <c r="E77" s="7" t="inlineStr">
        <is>
          <t>Río Abajo, Panamá</t>
        </is>
      </c>
      <c r="F77" s="7" t="inlineStr"/>
      <c r="G77" s="7" t="inlineStr"/>
      <c r="H77" s="7" t="inlineStr"/>
      <c r="I77" s="7" t="inlineStr"/>
      <c r="J77" t="inlineStr">
        <is>
          <t>No</t>
        </is>
      </c>
      <c r="K77" s="7" t="inlineStr">
        <is>
          <t>Sin verificar</t>
        </is>
      </c>
      <c r="L77" s="8">
        <f>IF(B77="","",IF(COUNTIFS($B$2:B77,B77,$D$2:D77,D77)&gt;1,"SI","NO"))</f>
        <v/>
      </c>
      <c r="M77" s="8">
        <f>IF(G77="","",IF(AND(ISNUMBER(SEARCH("@",G77)),ISNUMBER(SEARCH(".",G77,SEARCH("@",G77))),LEN(G77)-LEN(SUBSTITUTE(G77,"@",""))=1,MID(G77,SEARCH("@",G77)+1,1)&lt;&gt;".",RIGHT(G77,1)&lt;&gt;"."),"Válido","Revisar"))</f>
        <v/>
      </c>
      <c r="N77" s="8">
        <f>IF(F77="","",IF(LEN(SUBSTITUTE(SUBSTITUTE(SUBSTITUTE(SUBSTITUTE(F77,"+507",""),"-",""),"(",""),")",""))=8,"Válido","Revisar"))</f>
        <v/>
      </c>
      <c r="O77" s="7" t="inlineStr">
        <is>
          <t>Encontrado vía TomTom Maps (POI residencial confirmado, existencia real). Sin teléfono público listado — verificar en portería o con la administración en persona.</t>
        </is>
      </c>
    </row>
    <row r="78">
      <c r="A78" s="6">
        <f>IF(B78="","",ROW()-1)</f>
        <v/>
      </c>
      <c r="B78" s="7" t="inlineStr">
        <is>
          <t>la Florida</t>
        </is>
      </c>
      <c r="C78" s="7" t="inlineStr">
        <is>
          <t>PH/Residencial</t>
        </is>
      </c>
      <c r="D78" s="7" t="inlineStr">
        <is>
          <t>Costa del Este</t>
        </is>
      </c>
      <c r="E78" s="7" t="inlineStr">
        <is>
          <t>Río Abajo, Panamá</t>
        </is>
      </c>
      <c r="F78" s="7" t="inlineStr"/>
      <c r="G78" s="7" t="inlineStr"/>
      <c r="H78" s="7" t="inlineStr"/>
      <c r="I78" s="7" t="inlineStr"/>
      <c r="J78" t="inlineStr">
        <is>
          <t>No</t>
        </is>
      </c>
      <c r="K78" s="7" t="inlineStr">
        <is>
          <t>Sin verificar</t>
        </is>
      </c>
      <c r="L78" s="8">
        <f>IF(B78="","",IF(COUNTIFS($B$2:B78,B78,$D$2:D78,D78)&gt;1,"SI","NO"))</f>
        <v/>
      </c>
      <c r="M78" s="8">
        <f>IF(G78="","",IF(AND(ISNUMBER(SEARCH("@",G78)),ISNUMBER(SEARCH(".",G78,SEARCH("@",G78))),LEN(G78)-LEN(SUBSTITUTE(G78,"@",""))=1,MID(G78,SEARCH("@",G78)+1,1)&lt;&gt;".",RIGHT(G78,1)&lt;&gt;"."),"Válido","Revisar"))</f>
        <v/>
      </c>
      <c r="N78" s="8">
        <f>IF(F78="","",IF(LEN(SUBSTITUTE(SUBSTITUTE(SUBSTITUTE(SUBSTITUTE(F78,"+507",""),"-",""),"(",""),")",""))=8,"Válido","Revisar"))</f>
        <v/>
      </c>
      <c r="O78" s="7" t="inlineStr">
        <is>
          <t>Encontrado vía TomTom Maps (POI residencial confirmado, existencia real). Sin teléfono público listado — verificar en portería o con la administración en persona.</t>
        </is>
      </c>
    </row>
    <row r="79">
      <c r="A79" s="6">
        <f>IF(B79="","",ROW()-1)</f>
        <v/>
      </c>
      <c r="B79" s="7" t="inlineStr">
        <is>
          <t>Los Yoses</t>
        </is>
      </c>
      <c r="C79" s="7" t="inlineStr">
        <is>
          <t>PH/Residencial</t>
        </is>
      </c>
      <c r="D79" s="7" t="inlineStr">
        <is>
          <t>Costa del Este</t>
        </is>
      </c>
      <c r="E79" s="7" t="inlineStr">
        <is>
          <t>Río Abajo, Panamá</t>
        </is>
      </c>
      <c r="F79" s="7" t="inlineStr"/>
      <c r="G79" s="7" t="inlineStr"/>
      <c r="H79" s="7" t="inlineStr"/>
      <c r="I79" s="7" t="inlineStr"/>
      <c r="J79" t="inlineStr">
        <is>
          <t>No</t>
        </is>
      </c>
      <c r="K79" s="7" t="inlineStr">
        <is>
          <t>Sin verificar</t>
        </is>
      </c>
      <c r="L79" s="8">
        <f>IF(B79="","",IF(COUNTIFS($B$2:B79,B79,$D$2:D79,D79)&gt;1,"SI","NO"))</f>
        <v/>
      </c>
      <c r="M79" s="8">
        <f>IF(G79="","",IF(AND(ISNUMBER(SEARCH("@",G79)),ISNUMBER(SEARCH(".",G79,SEARCH("@",G79))),LEN(G79)-LEN(SUBSTITUTE(G79,"@",""))=1,MID(G79,SEARCH("@",G79)+1,1)&lt;&gt;".",RIGHT(G79,1)&lt;&gt;"."),"Válido","Revisar"))</f>
        <v/>
      </c>
      <c r="N79" s="8">
        <f>IF(F79="","",IF(LEN(SUBSTITUTE(SUBSTITUTE(SUBSTITUTE(SUBSTITUTE(F79,"+507",""),"-",""),"(",""),")",""))=8,"Válido","Revisar"))</f>
        <v/>
      </c>
      <c r="O79" s="7" t="inlineStr">
        <is>
          <t>Encontrado vía TomTom Maps (POI residencial confirmado, existencia real). Sin teléfono público listado — verificar en portería o con la administración en persona.</t>
        </is>
      </c>
    </row>
    <row r="80">
      <c r="A80" s="6">
        <f>IF(B80="","",ROW()-1)</f>
        <v/>
      </c>
      <c r="B80" s="7" t="inlineStr">
        <is>
          <t>P.H. Plaza Las Arcadas</t>
        </is>
      </c>
      <c r="C80" s="7" t="inlineStr">
        <is>
          <t>PH/Residencial</t>
        </is>
      </c>
      <c r="D80" s="7" t="inlineStr">
        <is>
          <t>Costa del Este</t>
        </is>
      </c>
      <c r="E80" s="7" t="inlineStr">
        <is>
          <t>Juan Díaz, Panamá</t>
        </is>
      </c>
      <c r="F80" s="7" t="inlineStr"/>
      <c r="G80" s="7" t="inlineStr"/>
      <c r="H80" s="7" t="inlineStr"/>
      <c r="I80" s="7" t="inlineStr"/>
      <c r="J80" t="inlineStr">
        <is>
          <t>No</t>
        </is>
      </c>
      <c r="K80" s="7" t="inlineStr">
        <is>
          <t>Sin verificar</t>
        </is>
      </c>
      <c r="L80" s="8">
        <f>IF(B80="","",IF(COUNTIFS($B$2:B80,B80,$D$2:D80,D80)&gt;1,"SI","NO"))</f>
        <v/>
      </c>
      <c r="M80" s="8">
        <f>IF(G80="","",IF(AND(ISNUMBER(SEARCH("@",G80)),ISNUMBER(SEARCH(".",G80,SEARCH("@",G80))),LEN(G80)-LEN(SUBSTITUTE(G80,"@",""))=1,MID(G80,SEARCH("@",G80)+1,1)&lt;&gt;".",RIGHT(G80,1)&lt;&gt;"."),"Válido","Revisar"))</f>
        <v/>
      </c>
      <c r="N80" s="8">
        <f>IF(F80="","",IF(LEN(SUBSTITUTE(SUBSTITUTE(SUBSTITUTE(SUBSTITUTE(F80,"+507",""),"-",""),"(",""),")",""))=8,"Válido","Revisar"))</f>
        <v/>
      </c>
      <c r="O80" s="7" t="inlineStr">
        <is>
          <t>Encontrado vía TomTom Maps (POI residencial confirmado, existencia real). Sin teléfono público listado — verificar en portería o con la administración en persona.</t>
        </is>
      </c>
    </row>
    <row r="81">
      <c r="A81" s="6">
        <f>IF(B81="","",ROW()-1)</f>
        <v/>
      </c>
      <c r="B81" s="7" t="inlineStr">
        <is>
          <t>P.H. Versalles I</t>
        </is>
      </c>
      <c r="C81" s="7" t="inlineStr">
        <is>
          <t>PH/Residencial</t>
        </is>
      </c>
      <c r="D81" s="7" t="inlineStr">
        <is>
          <t>Versalles PH1</t>
        </is>
      </c>
      <c r="E81" s="7" t="inlineStr">
        <is>
          <t>Versalles, Juan Díaz, Panamá</t>
        </is>
      </c>
      <c r="F81" s="7" t="inlineStr"/>
      <c r="G81" s="7" t="inlineStr"/>
      <c r="H81" s="7" t="inlineStr"/>
      <c r="I81" s="7" t="inlineStr"/>
      <c r="J81" t="inlineStr">
        <is>
          <t>No</t>
        </is>
      </c>
      <c r="K81" s="7" t="inlineStr">
        <is>
          <t>Sin verificar</t>
        </is>
      </c>
      <c r="L81" s="8">
        <f>IF(B81="","",IF(COUNTIFS($B$2:B81,B81,$D$2:D81,D81)&gt;1,"SI","NO"))</f>
        <v/>
      </c>
      <c r="M81" s="8">
        <f>IF(G81="","",IF(AND(ISNUMBER(SEARCH("@",G81)),ISNUMBER(SEARCH(".",G81,SEARCH("@",G81))),LEN(G81)-LEN(SUBSTITUTE(G81,"@",""))=1,MID(G81,SEARCH("@",G81)+1,1)&lt;&gt;".",RIGHT(G81,1)&lt;&gt;"."),"Válido","Revisar"))</f>
        <v/>
      </c>
      <c r="N81" s="8">
        <f>IF(F81="","",IF(LEN(SUBSTITUTE(SUBSTITUTE(SUBSTITUTE(SUBSTITUTE(F81,"+507",""),"-",""),"(",""),")",""))=8,"Válido","Revisar"))</f>
        <v/>
      </c>
      <c r="O81" s="7" t="inlineStr">
        <is>
          <t>Encontrado vía TomTom Maps (POI residencial confirmado, existencia real). Sin teléfono público listado — verificar en portería o con la administración en persona.</t>
        </is>
      </c>
    </row>
    <row r="82">
      <c r="A82" s="6">
        <f>IF(B82="","",ROW()-1)</f>
        <v/>
      </c>
      <c r="B82" s="7" t="inlineStr">
        <is>
          <t>Quintas Versalles</t>
        </is>
      </c>
      <c r="C82" s="7" t="inlineStr">
        <is>
          <t>PH/Residencial</t>
        </is>
      </c>
      <c r="D82" s="7" t="inlineStr">
        <is>
          <t>Versalles PH1</t>
        </is>
      </c>
      <c r="E82" s="7" t="inlineStr">
        <is>
          <t>Avenida Gaudi, Juan Díaz, Panamá</t>
        </is>
      </c>
      <c r="F82" s="7" t="inlineStr"/>
      <c r="G82" s="7" t="inlineStr"/>
      <c r="H82" s="7" t="inlineStr"/>
      <c r="I82" s="7" t="inlineStr"/>
      <c r="J82" t="inlineStr">
        <is>
          <t>No</t>
        </is>
      </c>
      <c r="K82" s="7" t="inlineStr">
        <is>
          <t>Sin verificar</t>
        </is>
      </c>
      <c r="L82" s="8">
        <f>IF(B82="","",IF(COUNTIFS($B$2:B82,B82,$D$2:D82,D82)&gt;1,"SI","NO"))</f>
        <v/>
      </c>
      <c r="M82" s="8">
        <f>IF(G82="","",IF(AND(ISNUMBER(SEARCH("@",G82)),ISNUMBER(SEARCH(".",G82,SEARCH("@",G82))),LEN(G82)-LEN(SUBSTITUTE(G82,"@",""))=1,MID(G82,SEARCH("@",G82)+1,1)&lt;&gt;".",RIGHT(G82,1)&lt;&gt;"."),"Válido","Revisar"))</f>
        <v/>
      </c>
      <c r="N82" s="8">
        <f>IF(F82="","",IF(LEN(SUBSTITUTE(SUBSTITUTE(SUBSTITUTE(SUBSTITUTE(F82,"+507",""),"-",""),"(",""),")",""))=8,"Válido","Revisar"))</f>
        <v/>
      </c>
      <c r="O82" s="7" t="inlineStr">
        <is>
          <t>Encontrado vía TomTom Maps (POI residencial confirmado, existencia real). Sin teléfono público listado — verificar en portería o con la administración en persona.</t>
        </is>
      </c>
    </row>
    <row r="83">
      <c r="A83" s="6">
        <f>IF(B83="","",ROW()-1)</f>
        <v/>
      </c>
      <c r="B83" s="7" t="inlineStr">
        <is>
          <t>Reserva de Versalles (edificio construido)</t>
        </is>
      </c>
      <c r="C83" s="7" t="inlineStr">
        <is>
          <t>PH/Residencial</t>
        </is>
      </c>
      <c r="D83" s="7" t="inlineStr">
        <is>
          <t>Versalles PH1</t>
        </is>
      </c>
      <c r="E83" s="7" t="inlineStr">
        <is>
          <t>Juan Díaz, Panamá</t>
        </is>
      </c>
      <c r="F83" s="7" t="inlineStr"/>
      <c r="G83" s="7" t="inlineStr"/>
      <c r="H83" s="7" t="inlineStr"/>
      <c r="I83" s="7" t="inlineStr"/>
      <c r="J83" t="inlineStr">
        <is>
          <t>No</t>
        </is>
      </c>
      <c r="K83" s="7" t="inlineStr">
        <is>
          <t>Sin verificar</t>
        </is>
      </c>
      <c r="L83" s="8">
        <f>IF(B83="","",IF(COUNTIFS($B$2:B83,B83,$D$2:D83,D83)&gt;1,"SI","NO"))</f>
        <v/>
      </c>
      <c r="M83" s="8">
        <f>IF(G83="","",IF(AND(ISNUMBER(SEARCH("@",G83)),ISNUMBER(SEARCH(".",G83,SEARCH("@",G83))),LEN(G83)-LEN(SUBSTITUTE(G83,"@",""))=1,MID(G83,SEARCH("@",G83)+1,1)&lt;&gt;".",RIGHT(G83,1)&lt;&gt;"."),"Válido","Revisar"))</f>
        <v/>
      </c>
      <c r="N83" s="8">
        <f>IF(F83="","",IF(LEN(SUBSTITUTE(SUBSTITUTE(SUBSTITUTE(SUBSTITUTE(F83,"+507",""),"-",""),"(",""),")",""))=8,"Válido","Revisar"))</f>
        <v/>
      </c>
      <c r="O83" s="7" t="inlineStr">
        <is>
          <t>Encontrado vía TomTom Maps (POI residencial confirmado, existencia real). Sin teléfono público listado — verificar en portería o con la administración en persona.</t>
        </is>
      </c>
    </row>
    <row r="84">
      <c r="A84" s="6">
        <f>IF(B84="","",ROW()-1)</f>
        <v/>
      </c>
      <c r="B84" s="7" t="inlineStr">
        <is>
          <t>P.H. Acacias Versalles</t>
        </is>
      </c>
      <c r="C84" s="7" t="inlineStr">
        <is>
          <t>PH/Residencial</t>
        </is>
      </c>
      <c r="D84" s="7" t="inlineStr">
        <is>
          <t>Versalles PH1</t>
        </is>
      </c>
      <c r="E84" s="7" t="inlineStr">
        <is>
          <t>Juan Díaz, Panamá</t>
        </is>
      </c>
      <c r="F84" s="7" t="inlineStr"/>
      <c r="G84" s="7" t="inlineStr"/>
      <c r="H84" s="7" t="inlineStr"/>
      <c r="I84" s="7" t="inlineStr"/>
      <c r="J84" t="inlineStr">
        <is>
          <t>No</t>
        </is>
      </c>
      <c r="K84" s="7" t="inlineStr">
        <is>
          <t>Sin verificar</t>
        </is>
      </c>
      <c r="L84" s="8">
        <f>IF(B84="","",IF(COUNTIFS($B$2:B84,B84,$D$2:D84,D84)&gt;1,"SI","NO"))</f>
        <v/>
      </c>
      <c r="M84" s="8">
        <f>IF(G84="","",IF(AND(ISNUMBER(SEARCH("@",G84)),ISNUMBER(SEARCH(".",G84,SEARCH("@",G84))),LEN(G84)-LEN(SUBSTITUTE(G84,"@",""))=1,MID(G84,SEARCH("@",G84)+1,1)&lt;&gt;".",RIGHT(G84,1)&lt;&gt;"."),"Válido","Revisar"))</f>
        <v/>
      </c>
      <c r="N84" s="8">
        <f>IF(F84="","",IF(LEN(SUBSTITUTE(SUBSTITUTE(SUBSTITUTE(SUBSTITUTE(F84,"+507",""),"-",""),"(",""),")",""))=8,"Válido","Revisar"))</f>
        <v/>
      </c>
      <c r="O84" s="7" t="inlineStr">
        <is>
          <t>Encontrado vía TomTom Maps (POI residencial confirmado, existencia real). Sin teléfono público listado — verificar en portería o con la administración en persona.</t>
        </is>
      </c>
    </row>
    <row r="85">
      <c r="A85" s="6">
        <f>IF(B85="","",ROW()-1)</f>
        <v/>
      </c>
      <c r="B85" s="7" t="inlineStr">
        <is>
          <t>Altos de Plaza Tocumen</t>
        </is>
      </c>
      <c r="C85" s="7" t="inlineStr">
        <is>
          <t>PH/Residencial</t>
        </is>
      </c>
      <c r="D85" s="7" t="inlineStr">
        <is>
          <t>Versalles PH1</t>
        </is>
      </c>
      <c r="E85" s="7" t="inlineStr">
        <is>
          <t>Juan Díaz, Panamá</t>
        </is>
      </c>
      <c r="F85" s="7" t="inlineStr"/>
      <c r="G85" s="7" t="inlineStr"/>
      <c r="H85" s="7" t="inlineStr"/>
      <c r="I85" s="7" t="inlineStr"/>
      <c r="J85" t="inlineStr">
        <is>
          <t>No</t>
        </is>
      </c>
      <c r="K85" s="7" t="inlineStr">
        <is>
          <t>Sin verificar</t>
        </is>
      </c>
      <c r="L85" s="8">
        <f>IF(B85="","",IF(COUNTIFS($B$2:B85,B85,$D$2:D85,D85)&gt;1,"SI","NO"))</f>
        <v/>
      </c>
      <c r="M85" s="8">
        <f>IF(G85="","",IF(AND(ISNUMBER(SEARCH("@",G85)),ISNUMBER(SEARCH(".",G85,SEARCH("@",G85))),LEN(G85)-LEN(SUBSTITUTE(G85,"@",""))=1,MID(G85,SEARCH("@",G85)+1,1)&lt;&gt;".",RIGHT(G85,1)&lt;&gt;"."),"Válido","Revisar"))</f>
        <v/>
      </c>
      <c r="N85" s="8">
        <f>IF(F85="","",IF(LEN(SUBSTITUTE(SUBSTITUTE(SUBSTITUTE(SUBSTITUTE(F85,"+507",""),"-",""),"(",""),")",""))=8,"Válido","Revisar"))</f>
        <v/>
      </c>
      <c r="O85" s="7" t="inlineStr">
        <is>
          <t>Encontrado vía TomTom Maps (POI residencial confirmado, existencia real). Sin teléfono público listado — verificar en portería o con la administración en persona.</t>
        </is>
      </c>
    </row>
    <row r="86">
      <c r="A86" s="6">
        <f>IF(B86="","",ROW()-1)</f>
        <v/>
      </c>
      <c r="B86" s="7" t="inlineStr">
        <is>
          <t>P.H. Sion</t>
        </is>
      </c>
      <c r="C86" s="7" t="inlineStr">
        <is>
          <t>PH/Residencial</t>
        </is>
      </c>
      <c r="D86" s="7" t="inlineStr">
        <is>
          <t>Versalles PH1</t>
        </is>
      </c>
      <c r="E86" s="7" t="inlineStr">
        <is>
          <t>Juan Díaz, Panamá</t>
        </is>
      </c>
      <c r="F86" s="7" t="inlineStr"/>
      <c r="G86" s="7" t="inlineStr"/>
      <c r="H86" s="7" t="inlineStr"/>
      <c r="I86" s="7" t="inlineStr"/>
      <c r="J86" t="inlineStr">
        <is>
          <t>No</t>
        </is>
      </c>
      <c r="K86" s="7" t="inlineStr">
        <is>
          <t>Sin verificar</t>
        </is>
      </c>
      <c r="L86" s="8">
        <f>IF(B86="","",IF(COUNTIFS($B$2:B86,B86,$D$2:D86,D86)&gt;1,"SI","NO"))</f>
        <v/>
      </c>
      <c r="M86" s="8">
        <f>IF(G86="","",IF(AND(ISNUMBER(SEARCH("@",G86)),ISNUMBER(SEARCH(".",G86,SEARCH("@",G86))),LEN(G86)-LEN(SUBSTITUTE(G86,"@",""))=1,MID(G86,SEARCH("@",G86)+1,1)&lt;&gt;".",RIGHT(G86,1)&lt;&gt;"."),"Válido","Revisar"))</f>
        <v/>
      </c>
      <c r="N86" s="8">
        <f>IF(F86="","",IF(LEN(SUBSTITUTE(SUBSTITUTE(SUBSTITUTE(SUBSTITUTE(F86,"+507",""),"-",""),"(",""),")",""))=8,"Válido","Revisar"))</f>
        <v/>
      </c>
      <c r="O86" s="7" t="inlineStr">
        <is>
          <t>Encontrado vía TomTom Maps (POI residencial confirmado, existencia real). Sin teléfono público listado — verificar en portería o con la administración en persona.</t>
        </is>
      </c>
    </row>
    <row r="87">
      <c r="A87" s="6">
        <f>IF(B87="","",ROW()-1)</f>
        <v/>
      </c>
      <c r="B87" s="7" t="inlineStr">
        <is>
          <t>Villas de Andalucía</t>
        </is>
      </c>
      <c r="C87" s="7" t="inlineStr">
        <is>
          <t>PH/Residencial</t>
        </is>
      </c>
      <c r="D87" s="7" t="inlineStr">
        <is>
          <t>Versalles PH1</t>
        </is>
      </c>
      <c r="E87" s="7" t="inlineStr">
        <is>
          <t>Calle 7ma, Juan Díaz, Panamá</t>
        </is>
      </c>
      <c r="F87" s="7" t="inlineStr"/>
      <c r="G87" s="7" t="inlineStr"/>
      <c r="H87" s="7" t="inlineStr"/>
      <c r="I87" s="7" t="inlineStr"/>
      <c r="J87" t="inlineStr">
        <is>
          <t>No</t>
        </is>
      </c>
      <c r="K87" s="7" t="inlineStr">
        <is>
          <t>Sin verificar</t>
        </is>
      </c>
      <c r="L87" s="8">
        <f>IF(B87="","",IF(COUNTIFS($B$2:B87,B87,$D$2:D87,D87)&gt;1,"SI","NO"))</f>
        <v/>
      </c>
      <c r="M87" s="8">
        <f>IF(G87="","",IF(AND(ISNUMBER(SEARCH("@",G87)),ISNUMBER(SEARCH(".",G87,SEARCH("@",G87))),LEN(G87)-LEN(SUBSTITUTE(G87,"@",""))=1,MID(G87,SEARCH("@",G87)+1,1)&lt;&gt;".",RIGHT(G87,1)&lt;&gt;"."),"Válido","Revisar"))</f>
        <v/>
      </c>
      <c r="N87" s="8">
        <f>IF(F87="","",IF(LEN(SUBSTITUTE(SUBSTITUTE(SUBSTITUTE(SUBSTITUTE(F87,"+507",""),"-",""),"(",""),")",""))=8,"Válido","Revisar"))</f>
        <v/>
      </c>
      <c r="O87" s="7" t="inlineStr">
        <is>
          <t>Encontrado vía TomTom Maps (POI residencial confirmado, existencia real). Sin teléfono público listado — verificar en portería o con la administración en persona.</t>
        </is>
      </c>
    </row>
    <row r="88">
      <c r="A88" s="6">
        <f>IF(B88="","",ROW()-1)</f>
        <v/>
      </c>
      <c r="B88" s="7" t="inlineStr">
        <is>
          <t>P.H. Paradise</t>
        </is>
      </c>
      <c r="C88" s="7" t="inlineStr">
        <is>
          <t>PH/Residencial</t>
        </is>
      </c>
      <c r="D88" s="7" t="inlineStr">
        <is>
          <t>Versalles PH1</t>
        </is>
      </c>
      <c r="E88" s="7" t="inlineStr">
        <is>
          <t>Calle Tercera, Juan Díaz, Panamá</t>
        </is>
      </c>
      <c r="F88" s="7" t="inlineStr"/>
      <c r="G88" s="7" t="inlineStr"/>
      <c r="H88" s="7" t="inlineStr"/>
      <c r="I88" s="7" t="inlineStr"/>
      <c r="J88" t="inlineStr">
        <is>
          <t>No</t>
        </is>
      </c>
      <c r="K88" s="7" t="inlineStr">
        <is>
          <t>Sin verificar</t>
        </is>
      </c>
      <c r="L88" s="8">
        <f>IF(B88="","",IF(COUNTIFS($B$2:B88,B88,$D$2:D88,D88)&gt;1,"SI","NO"))</f>
        <v/>
      </c>
      <c r="M88" s="8">
        <f>IF(G88="","",IF(AND(ISNUMBER(SEARCH("@",G88)),ISNUMBER(SEARCH(".",G88,SEARCH("@",G88))),LEN(G88)-LEN(SUBSTITUTE(G88,"@",""))=1,MID(G88,SEARCH("@",G88)+1,1)&lt;&gt;".",RIGHT(G88,1)&lt;&gt;"."),"Válido","Revisar"))</f>
        <v/>
      </c>
      <c r="N88" s="8">
        <f>IF(F88="","",IF(LEN(SUBSTITUTE(SUBSTITUTE(SUBSTITUTE(SUBSTITUTE(F88,"+507",""),"-",""),"(",""),")",""))=8,"Válido","Revisar"))</f>
        <v/>
      </c>
      <c r="O88" s="7" t="inlineStr">
        <is>
          <t>Encontrado vía TomTom Maps (POI residencial confirmado, existencia real). Sin teléfono público listado — verificar en portería o con la administración en persona.</t>
        </is>
      </c>
    </row>
    <row r="89">
      <c r="A89" s="6">
        <f>IF(B89="","",ROW()-1)</f>
        <v/>
      </c>
      <c r="B89" s="7" t="inlineStr">
        <is>
          <t>Villa Magma</t>
        </is>
      </c>
      <c r="C89" s="7" t="inlineStr">
        <is>
          <t>PH/Residencial</t>
        </is>
      </c>
      <c r="D89" s="7" t="inlineStr">
        <is>
          <t>Versalles PH1</t>
        </is>
      </c>
      <c r="E89" s="7" t="inlineStr">
        <is>
          <t>Juan Díaz, Panamá</t>
        </is>
      </c>
      <c r="F89" s="7" t="inlineStr"/>
      <c r="G89" s="7" t="inlineStr"/>
      <c r="H89" s="7" t="inlineStr"/>
      <c r="I89" s="7" t="inlineStr"/>
      <c r="J89" t="inlineStr">
        <is>
          <t>No</t>
        </is>
      </c>
      <c r="K89" s="7" t="inlineStr">
        <is>
          <t>Sin verificar</t>
        </is>
      </c>
      <c r="L89" s="8">
        <f>IF(B89="","",IF(COUNTIFS($B$2:B89,B89,$D$2:D89,D89)&gt;1,"SI","NO"))</f>
        <v/>
      </c>
      <c r="M89" s="8">
        <f>IF(G89="","",IF(AND(ISNUMBER(SEARCH("@",G89)),ISNUMBER(SEARCH(".",G89,SEARCH("@",G89))),LEN(G89)-LEN(SUBSTITUTE(G89,"@",""))=1,MID(G89,SEARCH("@",G89)+1,1)&lt;&gt;".",RIGHT(G89,1)&lt;&gt;"."),"Válido","Revisar"))</f>
        <v/>
      </c>
      <c r="N89" s="8">
        <f>IF(F89="","",IF(LEN(SUBSTITUTE(SUBSTITUTE(SUBSTITUTE(SUBSTITUTE(F89,"+507",""),"-",""),"(",""),")",""))=8,"Válido","Revisar"))</f>
        <v/>
      </c>
      <c r="O89" s="7" t="inlineStr">
        <is>
          <t>Encontrado vía TomTom Maps (POI residencial confirmado, existencia real). Sin teléfono público listado — verificar en portería o con la administración en persona.</t>
        </is>
      </c>
    </row>
    <row r="90">
      <c r="A90" s="6">
        <f>IF(B90="","",ROW()-1)</f>
        <v/>
      </c>
      <c r="B90" s="7" t="inlineStr">
        <is>
          <t>Costa Sur Club</t>
        </is>
      </c>
      <c r="C90" s="7" t="inlineStr">
        <is>
          <t>PH/Residencial</t>
        </is>
      </c>
      <c r="D90" s="7" t="inlineStr">
        <is>
          <t>Versalles PH1</t>
        </is>
      </c>
      <c r="E90" s="7" t="inlineStr">
        <is>
          <t>Juan Díaz, Panamá</t>
        </is>
      </c>
      <c r="F90" s="7" t="inlineStr"/>
      <c r="G90" s="7" t="inlineStr"/>
      <c r="H90" s="7" t="inlineStr"/>
      <c r="I90" s="7" t="inlineStr"/>
      <c r="J90" t="inlineStr">
        <is>
          <t>No</t>
        </is>
      </c>
      <c r="K90" s="7" t="inlineStr">
        <is>
          <t>Sin verificar</t>
        </is>
      </c>
      <c r="L90" s="8">
        <f>IF(B90="","",IF(COUNTIFS($B$2:B90,B90,$D$2:D90,D90)&gt;1,"SI","NO"))</f>
        <v/>
      </c>
      <c r="M90" s="8">
        <f>IF(G90="","",IF(AND(ISNUMBER(SEARCH("@",G90)),ISNUMBER(SEARCH(".",G90,SEARCH("@",G90))),LEN(G90)-LEN(SUBSTITUTE(G90,"@",""))=1,MID(G90,SEARCH("@",G90)+1,1)&lt;&gt;".",RIGHT(G90,1)&lt;&gt;"."),"Válido","Revisar"))</f>
        <v/>
      </c>
      <c r="N90" s="8">
        <f>IF(F90="","",IF(LEN(SUBSTITUTE(SUBSTITUTE(SUBSTITUTE(SUBSTITUTE(F90,"+507",""),"-",""),"(",""),")",""))=8,"Válido","Revisar"))</f>
        <v/>
      </c>
      <c r="O90" s="7" t="inlineStr">
        <is>
          <t>Encontrado vía TomTom Maps (POI residencial confirmado, existencia real). Sin teléfono público listado — verificar en portería o con la administración en persona.</t>
        </is>
      </c>
    </row>
    <row r="91">
      <c r="A91" s="6">
        <f>IF(B91="","",ROW()-1)</f>
        <v/>
      </c>
      <c r="B91" s="7" t="inlineStr">
        <is>
          <t>Costamare</t>
        </is>
      </c>
      <c r="C91" s="7" t="inlineStr">
        <is>
          <t>PH/Residencial</t>
        </is>
      </c>
      <c r="D91" s="7" t="inlineStr">
        <is>
          <t>Versalles PH1</t>
        </is>
      </c>
      <c r="E91" s="7" t="inlineStr">
        <is>
          <t>Juan Díaz, Panamá</t>
        </is>
      </c>
      <c r="F91" s="7" t="inlineStr"/>
      <c r="G91" s="7" t="inlineStr"/>
      <c r="H91" s="7" t="inlineStr"/>
      <c r="I91" s="7" t="inlineStr"/>
      <c r="J91" t="inlineStr">
        <is>
          <t>No</t>
        </is>
      </c>
      <c r="K91" s="7" t="inlineStr">
        <is>
          <t>Sin verificar</t>
        </is>
      </c>
      <c r="L91" s="8">
        <f>IF(B91="","",IF(COUNTIFS($B$2:B91,B91,$D$2:D91,D91)&gt;1,"SI","NO"))</f>
        <v/>
      </c>
      <c r="M91" s="8">
        <f>IF(G91="","",IF(AND(ISNUMBER(SEARCH("@",G91)),ISNUMBER(SEARCH(".",G91,SEARCH("@",G91))),LEN(G91)-LEN(SUBSTITUTE(G91,"@",""))=1,MID(G91,SEARCH("@",G91)+1,1)&lt;&gt;".",RIGHT(G91,1)&lt;&gt;"."),"Válido","Revisar"))</f>
        <v/>
      </c>
      <c r="N91" s="8">
        <f>IF(F91="","",IF(LEN(SUBSTITUTE(SUBSTITUTE(SUBSTITUTE(SUBSTITUTE(F91,"+507",""),"-",""),"(",""),")",""))=8,"Válido","Revisar"))</f>
        <v/>
      </c>
      <c r="O91" s="7" t="inlineStr">
        <is>
          <t>Encontrado vía TomTom Maps (POI residencial confirmado, existencia real). Sin teléfono público listado — verificar en portería o con la administración en persona.</t>
        </is>
      </c>
    </row>
    <row r="92">
      <c r="A92" s="6">
        <f>IF(B92="","",ROW()-1)</f>
        <v/>
      </c>
      <c r="B92" s="7" t="inlineStr">
        <is>
          <t>Villa Valencia Costa Sur</t>
        </is>
      </c>
      <c r="C92" s="7" t="inlineStr">
        <is>
          <t>PH/Residencial</t>
        </is>
      </c>
      <c r="D92" s="7" t="inlineStr">
        <is>
          <t>Versalles PH1</t>
        </is>
      </c>
      <c r="E92" s="7" t="inlineStr">
        <is>
          <t>Juan Díaz, Panamá</t>
        </is>
      </c>
      <c r="F92" s="7" t="inlineStr"/>
      <c r="G92" s="7" t="inlineStr"/>
      <c r="H92" s="7" t="inlineStr"/>
      <c r="I92" s="7" t="inlineStr"/>
      <c r="J92" t="inlineStr">
        <is>
          <t>No</t>
        </is>
      </c>
      <c r="K92" s="7" t="inlineStr">
        <is>
          <t>Sin verificar</t>
        </is>
      </c>
      <c r="L92" s="8">
        <f>IF(B92="","",IF(COUNTIFS($B$2:B92,B92,$D$2:D92,D92)&gt;1,"SI","NO"))</f>
        <v/>
      </c>
      <c r="M92" s="8">
        <f>IF(G92="","",IF(AND(ISNUMBER(SEARCH("@",G92)),ISNUMBER(SEARCH(".",G92,SEARCH("@",G92))),LEN(G92)-LEN(SUBSTITUTE(G92,"@",""))=1,MID(G92,SEARCH("@",G92)+1,1)&lt;&gt;".",RIGHT(G92,1)&lt;&gt;"."),"Válido","Revisar"))</f>
        <v/>
      </c>
      <c r="N92" s="8">
        <f>IF(F92="","",IF(LEN(SUBSTITUTE(SUBSTITUTE(SUBSTITUTE(SUBSTITUTE(F92,"+507",""),"-",""),"(",""),")",""))=8,"Válido","Revisar"))</f>
        <v/>
      </c>
      <c r="O92" s="7" t="inlineStr">
        <is>
          <t>Encontrado vía TomTom Maps (POI residencial confirmado, existencia real). Sin teléfono público listado — verificar en portería o con la administración en persona.</t>
        </is>
      </c>
    </row>
    <row r="93">
      <c r="A93" s="6">
        <f>IF(B93="","",ROW()-1)</f>
        <v/>
      </c>
      <c r="B93" s="7" t="inlineStr">
        <is>
          <t>P.H. Nirvana</t>
        </is>
      </c>
      <c r="C93" s="7" t="inlineStr">
        <is>
          <t>PH/Residencial</t>
        </is>
      </c>
      <c r="D93" s="7" t="inlineStr">
        <is>
          <t>Versalles PH1</t>
        </is>
      </c>
      <c r="E93" s="7" t="inlineStr">
        <is>
          <t>Calle Primera Juan Díaz Área A, Panamá</t>
        </is>
      </c>
      <c r="F93" s="7" t="inlineStr"/>
      <c r="G93" s="7" t="inlineStr"/>
      <c r="H93" s="7" t="inlineStr"/>
      <c r="I93" s="7" t="inlineStr"/>
      <c r="J93" t="inlineStr">
        <is>
          <t>No</t>
        </is>
      </c>
      <c r="K93" s="7" t="inlineStr">
        <is>
          <t>Sin verificar</t>
        </is>
      </c>
      <c r="L93" s="8">
        <f>IF(B93="","",IF(COUNTIFS($B$2:B93,B93,$D$2:D93,D93)&gt;1,"SI","NO"))</f>
        <v/>
      </c>
      <c r="M93" s="8">
        <f>IF(G93="","",IF(AND(ISNUMBER(SEARCH("@",G93)),ISNUMBER(SEARCH(".",G93,SEARCH("@",G93))),LEN(G93)-LEN(SUBSTITUTE(G93,"@",""))=1,MID(G93,SEARCH("@",G93)+1,1)&lt;&gt;".",RIGHT(G93,1)&lt;&gt;"."),"Válido","Revisar"))</f>
        <v/>
      </c>
      <c r="N93" s="8">
        <f>IF(F93="","",IF(LEN(SUBSTITUTE(SUBSTITUTE(SUBSTITUTE(SUBSTITUTE(F93,"+507",""),"-",""),"(",""),")",""))=8,"Válido","Revisar"))</f>
        <v/>
      </c>
      <c r="O93" s="7" t="inlineStr">
        <is>
          <t>Encontrado vía TomTom Maps (POI residencial confirmado, existencia real). Sin teléfono público listado — verificar en portería o con la administración en persona.</t>
        </is>
      </c>
    </row>
    <row r="94">
      <c r="A94" s="6">
        <f>IF(B94="","",ROW()-1)</f>
        <v/>
      </c>
      <c r="B94" s="7" t="inlineStr">
        <is>
          <t>El Doral</t>
        </is>
      </c>
      <c r="C94" s="7" t="inlineStr">
        <is>
          <t>PH/Residencial</t>
        </is>
      </c>
      <c r="D94" s="7" t="inlineStr">
        <is>
          <t>Versalles PH1</t>
        </is>
      </c>
      <c r="E94" s="7" t="inlineStr">
        <is>
          <t>Juan Díaz, Panamá</t>
        </is>
      </c>
      <c r="F94" s="7" t="inlineStr"/>
      <c r="G94" s="7" t="inlineStr"/>
      <c r="H94" s="7" t="inlineStr"/>
      <c r="I94" s="7" t="inlineStr"/>
      <c r="J94" t="inlineStr">
        <is>
          <t>No</t>
        </is>
      </c>
      <c r="K94" s="7" t="inlineStr">
        <is>
          <t>Sin verificar</t>
        </is>
      </c>
      <c r="L94" s="8">
        <f>IF(B94="","",IF(COUNTIFS($B$2:B94,B94,$D$2:D94,D94)&gt;1,"SI","NO"))</f>
        <v/>
      </c>
      <c r="M94" s="8">
        <f>IF(G94="","",IF(AND(ISNUMBER(SEARCH("@",G94)),ISNUMBER(SEARCH(".",G94,SEARCH("@",G94))),LEN(G94)-LEN(SUBSTITUTE(G94,"@",""))=1,MID(G94,SEARCH("@",G94)+1,1)&lt;&gt;".",RIGHT(G94,1)&lt;&gt;"."),"Válido","Revisar"))</f>
        <v/>
      </c>
      <c r="N94" s="8">
        <f>IF(F94="","",IF(LEN(SUBSTITUTE(SUBSTITUTE(SUBSTITUTE(SUBSTITUTE(F94,"+507",""),"-",""),"(",""),")",""))=8,"Válido","Revisar"))</f>
        <v/>
      </c>
      <c r="O94" s="7" t="inlineStr">
        <is>
          <t>Encontrado vía TomTom Maps (POI residencial confirmado, existencia real). Sin teléfono público listado — verificar en portería o con la administración en persona.</t>
        </is>
      </c>
    </row>
    <row r="95">
      <c r="A95" s="6">
        <f>IF(B95="","",ROW()-1)</f>
        <v/>
      </c>
      <c r="B95" s="7" t="inlineStr">
        <is>
          <t>Costa Sur Village</t>
        </is>
      </c>
      <c r="C95" s="7" t="inlineStr">
        <is>
          <t>PH/Residencial</t>
        </is>
      </c>
      <c r="D95" s="7" t="inlineStr">
        <is>
          <t>Versalles PH1</t>
        </is>
      </c>
      <c r="E95" s="7" t="inlineStr">
        <is>
          <t>Juan Díaz, Panamá</t>
        </is>
      </c>
      <c r="F95" s="7" t="inlineStr"/>
      <c r="G95" s="7" t="inlineStr"/>
      <c r="H95" s="7" t="inlineStr"/>
      <c r="I95" s="7" t="inlineStr"/>
      <c r="J95" t="inlineStr">
        <is>
          <t>No</t>
        </is>
      </c>
      <c r="K95" s="7" t="inlineStr">
        <is>
          <t>Sin verificar</t>
        </is>
      </c>
      <c r="L95" s="8">
        <f>IF(B95="","",IF(COUNTIFS($B$2:B95,B95,$D$2:D95,D95)&gt;1,"SI","NO"))</f>
        <v/>
      </c>
      <c r="M95" s="8">
        <f>IF(G95="","",IF(AND(ISNUMBER(SEARCH("@",G95)),ISNUMBER(SEARCH(".",G95,SEARCH("@",G95))),LEN(G95)-LEN(SUBSTITUTE(G95,"@",""))=1,MID(G95,SEARCH("@",G95)+1,1)&lt;&gt;".",RIGHT(G95,1)&lt;&gt;"."),"Válido","Revisar"))</f>
        <v/>
      </c>
      <c r="N95" s="8">
        <f>IF(F95="","",IF(LEN(SUBSTITUTE(SUBSTITUTE(SUBSTITUTE(SUBSTITUTE(F95,"+507",""),"-",""),"(",""),")",""))=8,"Válido","Revisar"))</f>
        <v/>
      </c>
      <c r="O95" s="7" t="inlineStr">
        <is>
          <t>Encontrado vía TomTom Maps (POI residencial confirmado, existencia real). Sin teléfono público listado — verificar en portería o con la administración en persona.</t>
        </is>
      </c>
    </row>
    <row r="96">
      <c r="A96" s="6">
        <f>IF(B96="","",ROW()-1)</f>
        <v/>
      </c>
      <c r="B96" s="7" t="inlineStr">
        <is>
          <t>Colonial Towers</t>
        </is>
      </c>
      <c r="C96" s="7" t="inlineStr">
        <is>
          <t>PH/Residencial</t>
        </is>
      </c>
      <c r="D96" s="7" t="inlineStr">
        <is>
          <t>Versalles PH1</t>
        </is>
      </c>
      <c r="E96" s="7" t="inlineStr">
        <is>
          <t>Calle Segunda, Juan Díaz, Panamá</t>
        </is>
      </c>
      <c r="F96" s="7" t="inlineStr"/>
      <c r="G96" s="7" t="inlineStr"/>
      <c r="H96" s="7" t="inlineStr"/>
      <c r="I96" s="7" t="inlineStr"/>
      <c r="J96" t="inlineStr">
        <is>
          <t>No</t>
        </is>
      </c>
      <c r="K96" s="7" t="inlineStr">
        <is>
          <t>Sin verificar</t>
        </is>
      </c>
      <c r="L96" s="8">
        <f>IF(B96="","",IF(COUNTIFS($B$2:B96,B96,$D$2:D96,D96)&gt;1,"SI","NO"))</f>
        <v/>
      </c>
      <c r="M96" s="8">
        <f>IF(G96="","",IF(AND(ISNUMBER(SEARCH("@",G96)),ISNUMBER(SEARCH(".",G96,SEARCH("@",G96))),LEN(G96)-LEN(SUBSTITUTE(G96,"@",""))=1,MID(G96,SEARCH("@",G96)+1,1)&lt;&gt;".",RIGHT(G96,1)&lt;&gt;"."),"Válido","Revisar"))</f>
        <v/>
      </c>
      <c r="N96" s="8">
        <f>IF(F96="","",IF(LEN(SUBSTITUTE(SUBSTITUTE(SUBSTITUTE(SUBSTITUTE(F96,"+507",""),"-",""),"(",""),")",""))=8,"Válido","Revisar"))</f>
        <v/>
      </c>
      <c r="O96" s="7" t="inlineStr">
        <is>
          <t>Encontrado vía TomTom Maps (POI residencial confirmado, existencia real). Sin teléfono público listado — verificar en portería o con la administración en persona.</t>
        </is>
      </c>
    </row>
    <row r="97">
      <c r="A97" s="6">
        <f>IF(B97="","",ROW()-1)</f>
        <v/>
      </c>
      <c r="B97" s="7" t="inlineStr">
        <is>
          <t>P.H. Torres de Cantabria II</t>
        </is>
      </c>
      <c r="C97" s="7" t="inlineStr">
        <is>
          <t>PH/Residencial</t>
        </is>
      </c>
      <c r="D97" s="7" t="inlineStr">
        <is>
          <t>Versalles PH1</t>
        </is>
      </c>
      <c r="E97" s="7" t="inlineStr">
        <is>
          <t>Juan Díaz, Panamá</t>
        </is>
      </c>
      <c r="F97" s="7" t="inlineStr"/>
      <c r="G97" s="7" t="inlineStr"/>
      <c r="H97" s="7" t="inlineStr"/>
      <c r="I97" s="7" t="inlineStr"/>
      <c r="J97" t="inlineStr">
        <is>
          <t>No</t>
        </is>
      </c>
      <c r="K97" s="7" t="inlineStr">
        <is>
          <t>Sin verificar</t>
        </is>
      </c>
      <c r="L97" s="8">
        <f>IF(B97="","",IF(COUNTIFS($B$2:B97,B97,$D$2:D97,D97)&gt;1,"SI","NO"))</f>
        <v/>
      </c>
      <c r="M97" s="8">
        <f>IF(G97="","",IF(AND(ISNUMBER(SEARCH("@",G97)),ISNUMBER(SEARCH(".",G97,SEARCH("@",G97))),LEN(G97)-LEN(SUBSTITUTE(G97,"@",""))=1,MID(G97,SEARCH("@",G97)+1,1)&lt;&gt;".",RIGHT(G97,1)&lt;&gt;"."),"Válido","Revisar"))</f>
        <v/>
      </c>
      <c r="N97" s="8">
        <f>IF(F97="","",IF(LEN(SUBSTITUTE(SUBSTITUTE(SUBSTITUTE(SUBSTITUTE(F97,"+507",""),"-",""),"(",""),")",""))=8,"Válido","Revisar"))</f>
        <v/>
      </c>
      <c r="O97" s="7" t="inlineStr">
        <is>
          <t>Encontrado vía TomTom Maps (POI residencial confirmado, existencia real). Sin teléfono público listado — verificar en portería o con la administración en persona.</t>
        </is>
      </c>
    </row>
    <row r="98">
      <c r="A98" s="6">
        <f>IF(B98="","",ROW()-1)</f>
        <v/>
      </c>
      <c r="B98" s="7" t="inlineStr">
        <is>
          <t>Sunset Coast</t>
        </is>
      </c>
      <c r="C98" s="7" t="inlineStr">
        <is>
          <t>PH/Residencial</t>
        </is>
      </c>
      <c r="D98" s="7" t="inlineStr">
        <is>
          <t>Versalles PH1</t>
        </is>
      </c>
      <c r="E98" s="7" t="inlineStr">
        <is>
          <t>Juan Díaz, Panamá</t>
        </is>
      </c>
      <c r="F98" s="7" t="inlineStr"/>
      <c r="G98" s="7" t="inlineStr"/>
      <c r="H98" s="7" t="inlineStr"/>
      <c r="I98" s="7" t="inlineStr"/>
      <c r="J98" t="inlineStr">
        <is>
          <t>No</t>
        </is>
      </c>
      <c r="K98" s="7" t="inlineStr">
        <is>
          <t>Sin verificar</t>
        </is>
      </c>
      <c r="L98" s="8">
        <f>IF(B98="","",IF(COUNTIFS($B$2:B98,B98,$D$2:D98,D98)&gt;1,"SI","NO"))</f>
        <v/>
      </c>
      <c r="M98" s="8">
        <f>IF(G98="","",IF(AND(ISNUMBER(SEARCH("@",G98)),ISNUMBER(SEARCH(".",G98,SEARCH("@",G98))),LEN(G98)-LEN(SUBSTITUTE(G98,"@",""))=1,MID(G98,SEARCH("@",G98)+1,1)&lt;&gt;".",RIGHT(G98,1)&lt;&gt;"."),"Válido","Revisar"))</f>
        <v/>
      </c>
      <c r="N98" s="8">
        <f>IF(F98="","",IF(LEN(SUBSTITUTE(SUBSTITUTE(SUBSTITUTE(SUBSTITUTE(F98,"+507",""),"-",""),"(",""),")",""))=8,"Válido","Revisar"))</f>
        <v/>
      </c>
      <c r="O98" s="7" t="inlineStr">
        <is>
          <t>Encontrado vía TomTom Maps (POI residencial confirmado, existencia real). Sin teléfono público listado — verificar en portería o con la administración en persona.</t>
        </is>
      </c>
    </row>
    <row r="99">
      <c r="A99" s="6">
        <f>IF(B99="","",ROW()-1)</f>
        <v/>
      </c>
      <c r="B99" s="7" t="inlineStr">
        <is>
          <t>Tinajita</t>
        </is>
      </c>
      <c r="C99" s="7" t="inlineStr">
        <is>
          <t>PH/Residencial</t>
        </is>
      </c>
      <c r="D99" s="7" t="inlineStr">
        <is>
          <t>Don Bosco</t>
        </is>
      </c>
      <c r="E99" s="7" t="inlineStr">
        <is>
          <t>Calle El Cucuy, Belisario Porras, San Miguelito, Panamá</t>
        </is>
      </c>
      <c r="F99" s="7" t="inlineStr"/>
      <c r="G99" s="7" t="inlineStr"/>
      <c r="H99" s="7" t="inlineStr"/>
      <c r="I99" s="7" t="inlineStr"/>
      <c r="J99" t="inlineStr">
        <is>
          <t>No</t>
        </is>
      </c>
      <c r="K99" s="7" t="inlineStr">
        <is>
          <t>Sin verificar</t>
        </is>
      </c>
      <c r="L99" s="8">
        <f>IF(B99="","",IF(COUNTIFS($B$2:B99,B99,$D$2:D99,D99)&gt;1,"SI","NO"))</f>
        <v/>
      </c>
      <c r="M99" s="8">
        <f>IF(G99="","",IF(AND(ISNUMBER(SEARCH("@",G99)),ISNUMBER(SEARCH(".",G99,SEARCH("@",G99))),LEN(G99)-LEN(SUBSTITUTE(G99,"@",""))=1,MID(G99,SEARCH("@",G99)+1,1)&lt;&gt;".",RIGHT(G99,1)&lt;&gt;"."),"Válido","Revisar"))</f>
        <v/>
      </c>
      <c r="N99" s="8">
        <f>IF(F99="","",IF(LEN(SUBSTITUTE(SUBSTITUTE(SUBSTITUTE(SUBSTITUTE(F99,"+507",""),"-",""),"(",""),")",""))=8,"Válido","Revisar"))</f>
        <v/>
      </c>
      <c r="O99" s="7" t="inlineStr">
        <is>
          <t>Encontrado vía TomTom Maps (POI residencial confirmado, existencia real). Sin teléfono público listado — verificar en portería o con la administración en persona.</t>
        </is>
      </c>
    </row>
    <row r="100">
      <c r="A100" s="6">
        <f>IF(B100="","",ROW()-1)</f>
        <v/>
      </c>
      <c r="B100" s="7" t="inlineStr">
        <is>
          <t>P.H. Calas de Mallorca</t>
        </is>
      </c>
      <c r="C100" s="7" t="inlineStr">
        <is>
          <t>PH/Residencial</t>
        </is>
      </c>
      <c r="D100" s="7" t="inlineStr">
        <is>
          <t>Don Bosco</t>
        </is>
      </c>
      <c r="E100" s="7" t="inlineStr">
        <is>
          <t>Belisario Porras, San Miguelito, Panamá</t>
        </is>
      </c>
      <c r="F100" s="7" t="inlineStr"/>
      <c r="G100" s="7" t="inlineStr"/>
      <c r="H100" s="7" t="inlineStr"/>
      <c r="I100" s="7" t="inlineStr"/>
      <c r="J100" t="inlineStr">
        <is>
          <t>No</t>
        </is>
      </c>
      <c r="K100" s="7" t="inlineStr">
        <is>
          <t>Sin verificar</t>
        </is>
      </c>
      <c r="L100" s="8">
        <f>IF(B100="","",IF(COUNTIFS($B$2:B100,B100,$D$2:D100,D100)&gt;1,"SI","NO"))</f>
        <v/>
      </c>
      <c r="M100" s="8">
        <f>IF(G100="","",IF(AND(ISNUMBER(SEARCH("@",G100)),ISNUMBER(SEARCH(".",G100,SEARCH("@",G100))),LEN(G100)-LEN(SUBSTITUTE(G100,"@",""))=1,MID(G100,SEARCH("@",G100)+1,1)&lt;&gt;".",RIGHT(G100,1)&lt;&gt;"."),"Válido","Revisar"))</f>
        <v/>
      </c>
      <c r="N100" s="8">
        <f>IF(F100="","",IF(LEN(SUBSTITUTE(SUBSTITUTE(SUBSTITUTE(SUBSTITUTE(F100,"+507",""),"-",""),"(",""),")",""))=8,"Válido","Revisar"))</f>
        <v/>
      </c>
      <c r="O100" s="7" t="inlineStr">
        <is>
          <t>Encontrado vía TomTom Maps (POI residencial confirmado, existencia real). Sin teléfono público listado — verificar en portería o con la administración en persona.</t>
        </is>
      </c>
    </row>
    <row r="101">
      <c r="A101" s="6">
        <f>IF(B101="","",ROW()-1)</f>
        <v/>
      </c>
      <c r="B101" s="7" t="inlineStr">
        <is>
          <t>P.H. Mallorca Park Gardens II</t>
        </is>
      </c>
      <c r="C101" s="7" t="inlineStr">
        <is>
          <t>PH/Residencial</t>
        </is>
      </c>
      <c r="D101" s="7" t="inlineStr">
        <is>
          <t>Don Bosco</t>
        </is>
      </c>
      <c r="E101" s="7" t="inlineStr">
        <is>
          <t>Belisario Porras, San Miguelito, Panamá</t>
        </is>
      </c>
      <c r="F101" s="7" t="inlineStr"/>
      <c r="G101" s="7" t="inlineStr"/>
      <c r="H101" s="7" t="inlineStr"/>
      <c r="I101" s="7" t="inlineStr"/>
      <c r="J101" t="inlineStr">
        <is>
          <t>No</t>
        </is>
      </c>
      <c r="K101" s="7" t="inlineStr">
        <is>
          <t>Sin verificar</t>
        </is>
      </c>
      <c r="L101" s="8">
        <f>IF(B101="","",IF(COUNTIFS($B$2:B101,B101,$D$2:D101,D101)&gt;1,"SI","NO"))</f>
        <v/>
      </c>
      <c r="M101" s="8">
        <f>IF(G101="","",IF(AND(ISNUMBER(SEARCH("@",G101)),ISNUMBER(SEARCH(".",G101,SEARCH("@",G101))),LEN(G101)-LEN(SUBSTITUTE(G101,"@",""))=1,MID(G101,SEARCH("@",G101)+1,1)&lt;&gt;".",RIGHT(G101,1)&lt;&gt;"."),"Válido","Revisar"))</f>
        <v/>
      </c>
      <c r="N101" s="8">
        <f>IF(F101="","",IF(LEN(SUBSTITUTE(SUBSTITUTE(SUBSTITUTE(SUBSTITUTE(F101,"+507",""),"-",""),"(",""),")",""))=8,"Válido","Revisar"))</f>
        <v/>
      </c>
      <c r="O101" s="7" t="inlineStr">
        <is>
          <t>Encontrado vía TomTom Maps (POI residencial confirmado, existencia real). Sin teléfono público listado — verificar en portería o con la administración en persona.</t>
        </is>
      </c>
    </row>
    <row r="102">
      <c r="A102" s="6">
        <f>IF(B102="","",ROW()-1)</f>
        <v/>
      </c>
      <c r="B102" s="7" t="inlineStr">
        <is>
          <t>P.H. Fuentes de Mallorca Park I</t>
        </is>
      </c>
      <c r="C102" s="7" t="inlineStr">
        <is>
          <t>PH/Residencial</t>
        </is>
      </c>
      <c r="D102" s="7" t="inlineStr">
        <is>
          <t>Don Bosco</t>
        </is>
      </c>
      <c r="E102" s="7" t="inlineStr">
        <is>
          <t>Belisario Porras, San Miguelito, Panamá</t>
        </is>
      </c>
      <c r="F102" s="7" t="inlineStr"/>
      <c r="G102" s="7" t="inlineStr"/>
      <c r="H102" s="7" t="inlineStr"/>
      <c r="I102" s="7" t="inlineStr"/>
      <c r="J102" t="inlineStr">
        <is>
          <t>No</t>
        </is>
      </c>
      <c r="K102" s="7" t="inlineStr">
        <is>
          <t>Sin verificar</t>
        </is>
      </c>
      <c r="L102" s="8">
        <f>IF(B102="","",IF(COUNTIFS($B$2:B102,B102,$D$2:D102,D102)&gt;1,"SI","NO"))</f>
        <v/>
      </c>
      <c r="M102" s="8">
        <f>IF(G102="","",IF(AND(ISNUMBER(SEARCH("@",G102)),ISNUMBER(SEARCH(".",G102,SEARCH("@",G102))),LEN(G102)-LEN(SUBSTITUTE(G102,"@",""))=1,MID(G102,SEARCH("@",G102)+1,1)&lt;&gt;".",RIGHT(G102,1)&lt;&gt;"."),"Válido","Revisar"))</f>
        <v/>
      </c>
      <c r="N102" s="8">
        <f>IF(F102="","",IF(LEN(SUBSTITUTE(SUBSTITUTE(SUBSTITUTE(SUBSTITUTE(F102,"+507",""),"-",""),"(",""),")",""))=8,"Válido","Revisar"))</f>
        <v/>
      </c>
      <c r="O102" s="7" t="inlineStr">
        <is>
          <t>Encontrado vía TomTom Maps (POI residencial confirmado, existencia real). Sin teléfono público listado — verificar en portería o con la administración en persona.</t>
        </is>
      </c>
    </row>
    <row r="103">
      <c r="A103" s="6">
        <f>IF(B103="","",ROW()-1)</f>
        <v/>
      </c>
      <c r="B103" s="7" t="inlineStr">
        <is>
          <t>P.H. Mallorca Park Village</t>
        </is>
      </c>
      <c r="C103" s="7" t="inlineStr">
        <is>
          <t>PH/Residencial</t>
        </is>
      </c>
      <c r="D103" s="7" t="inlineStr">
        <is>
          <t>Don Bosco</t>
        </is>
      </c>
      <c r="E103" s="7" t="inlineStr">
        <is>
          <t>Belisario Porras, San Miguelito, Panamá</t>
        </is>
      </c>
      <c r="F103" s="7" t="inlineStr"/>
      <c r="G103" s="7" t="inlineStr"/>
      <c r="H103" s="7" t="inlineStr"/>
      <c r="I103" s="7" t="inlineStr"/>
      <c r="J103" t="inlineStr">
        <is>
          <t>No</t>
        </is>
      </c>
      <c r="K103" s="7" t="inlineStr">
        <is>
          <t>Sin verificar</t>
        </is>
      </c>
      <c r="L103" s="8">
        <f>IF(B103="","",IF(COUNTIFS($B$2:B103,B103,$D$2:D103,D103)&gt;1,"SI","NO"))</f>
        <v/>
      </c>
      <c r="M103" s="8">
        <f>IF(G103="","",IF(AND(ISNUMBER(SEARCH("@",G103)),ISNUMBER(SEARCH(".",G103,SEARCH("@",G103))),LEN(G103)-LEN(SUBSTITUTE(G103,"@",""))=1,MID(G103,SEARCH("@",G103)+1,1)&lt;&gt;".",RIGHT(G103,1)&lt;&gt;"."),"Válido","Revisar"))</f>
        <v/>
      </c>
      <c r="N103" s="8">
        <f>IF(F103="","",IF(LEN(SUBSTITUTE(SUBSTITUTE(SUBSTITUTE(SUBSTITUTE(F103,"+507",""),"-",""),"(",""),")",""))=8,"Válido","Revisar"))</f>
        <v/>
      </c>
      <c r="O103" s="7" t="inlineStr">
        <is>
          <t>Encontrado vía TomTom Maps (POI residencial confirmado, existencia real). Sin teléfono público listado — verificar en portería o con la administración en persona.</t>
        </is>
      </c>
    </row>
    <row r="104">
      <c r="A104" s="6">
        <f>IF(B104="","",ROW()-1)</f>
        <v/>
      </c>
      <c r="B104" s="7" t="inlineStr">
        <is>
          <t>P.H. Mallorca Park Gardens I</t>
        </is>
      </c>
      <c r="C104" s="7" t="inlineStr">
        <is>
          <t>PH/Residencial</t>
        </is>
      </c>
      <c r="D104" s="7" t="inlineStr">
        <is>
          <t>Don Bosco</t>
        </is>
      </c>
      <c r="E104" s="7" t="inlineStr">
        <is>
          <t>Belisario Porras, San Miguelito, Panamá</t>
        </is>
      </c>
      <c r="F104" s="7" t="inlineStr"/>
      <c r="G104" s="7" t="inlineStr"/>
      <c r="H104" s="7" t="inlineStr"/>
      <c r="I104" s="7" t="inlineStr"/>
      <c r="J104" t="inlineStr">
        <is>
          <t>No</t>
        </is>
      </c>
      <c r="K104" s="7" t="inlineStr">
        <is>
          <t>Sin verificar</t>
        </is>
      </c>
      <c r="L104" s="8">
        <f>IF(B104="","",IF(COUNTIFS($B$2:B104,B104,$D$2:D104,D104)&gt;1,"SI","NO"))</f>
        <v/>
      </c>
      <c r="M104" s="8">
        <f>IF(G104="","",IF(AND(ISNUMBER(SEARCH("@",G104)),ISNUMBER(SEARCH(".",G104,SEARCH("@",G104))),LEN(G104)-LEN(SUBSTITUTE(G104,"@",""))=1,MID(G104,SEARCH("@",G104)+1,1)&lt;&gt;".",RIGHT(G104,1)&lt;&gt;"."),"Válido","Revisar"))</f>
        <v/>
      </c>
      <c r="N104" s="8">
        <f>IF(F104="","",IF(LEN(SUBSTITUTE(SUBSTITUTE(SUBSTITUTE(SUBSTITUTE(F104,"+507",""),"-",""),"(",""),")",""))=8,"Válido","Revisar"))</f>
        <v/>
      </c>
      <c r="O104" s="7" t="inlineStr">
        <is>
          <t>Encontrado vía TomTom Maps (POI residencial confirmado, existencia real). Sin teléfono público listado — verificar en portería o con la administración en persona.</t>
        </is>
      </c>
    </row>
    <row r="105">
      <c r="A105" s="6">
        <f>IF(B105="","",ROW()-1)</f>
        <v/>
      </c>
      <c r="B105" s="7" t="inlineStr">
        <is>
          <t>P.H. Fuentes de Mallorca Park II</t>
        </is>
      </c>
      <c r="C105" s="7" t="inlineStr">
        <is>
          <t>PH/Residencial</t>
        </is>
      </c>
      <c r="D105" s="7" t="inlineStr">
        <is>
          <t>Don Bosco</t>
        </is>
      </c>
      <c r="E105" s="7" t="inlineStr">
        <is>
          <t>Belisario Porras, San Miguelito, Panamá</t>
        </is>
      </c>
      <c r="F105" s="7" t="inlineStr"/>
      <c r="G105" s="7" t="inlineStr"/>
      <c r="H105" s="7" t="inlineStr"/>
      <c r="I105" s="7" t="inlineStr"/>
      <c r="J105" t="inlineStr">
        <is>
          <t>No</t>
        </is>
      </c>
      <c r="K105" s="7" t="inlineStr">
        <is>
          <t>Sin verificar</t>
        </is>
      </c>
      <c r="L105" s="8">
        <f>IF(B105="","",IF(COUNTIFS($B$2:B105,B105,$D$2:D105,D105)&gt;1,"SI","NO"))</f>
        <v/>
      </c>
      <c r="M105" s="8">
        <f>IF(G105="","",IF(AND(ISNUMBER(SEARCH("@",G105)),ISNUMBER(SEARCH(".",G105,SEARCH("@",G105))),LEN(G105)-LEN(SUBSTITUTE(G105,"@",""))=1,MID(G105,SEARCH("@",G105)+1,1)&lt;&gt;".",RIGHT(G105,1)&lt;&gt;"."),"Válido","Revisar"))</f>
        <v/>
      </c>
      <c r="N105" s="8">
        <f>IF(F105="","",IF(LEN(SUBSTITUTE(SUBSTITUTE(SUBSTITUTE(SUBSTITUTE(F105,"+507",""),"-",""),"(",""),")",""))=8,"Válido","Revisar"))</f>
        <v/>
      </c>
      <c r="O105" s="7" t="inlineStr">
        <is>
          <t>Encontrado vía TomTom Maps (POI residencial confirmado, existencia real). Sin teléfono público listado — verificar en portería o con la administración en persona.</t>
        </is>
      </c>
    </row>
    <row r="106">
      <c r="A106" s="6">
        <f>IF(B106="","",ROW()-1)</f>
        <v/>
      </c>
      <c r="B106" s="7" t="inlineStr">
        <is>
          <t>Puerta del Golf</t>
        </is>
      </c>
      <c r="C106" s="7" t="inlineStr">
        <is>
          <t>PH/Residencial</t>
        </is>
      </c>
      <c r="D106" s="7" t="inlineStr">
        <is>
          <t>San Francisco</t>
        </is>
      </c>
      <c r="E106" s="7" t="inlineStr">
        <is>
          <t>San Francisco, Panamá</t>
        </is>
      </c>
      <c r="F106" s="7" t="n"/>
      <c r="G106" s="7" t="n"/>
      <c r="H106" s="7" t="n"/>
      <c r="I106" s="7" t="n"/>
      <c r="J106" t="inlineStr">
        <is>
          <t>No</t>
        </is>
      </c>
      <c r="K106" s="7" t="inlineStr">
        <is>
          <t>Por verificar</t>
        </is>
      </c>
      <c r="L106" s="8">
        <f>IF(B106="","",IF(COUNTIFS($B$2:B106,B106,$D$2:D106,D106)&gt;1,"SI","NO"))</f>
        <v/>
      </c>
      <c r="M106" s="8">
        <f>IF(G106="","",IF(AND(ISNUMBER(SEARCH("@",G106)),ISNUMBER(SEARCH(".",G106,SEARCH("@",G106))),LEN(G106)-LEN(SUBSTITUTE(G106,"@",""))=1,MID(G106,SEARCH("@",G106)+1,1)&lt;&gt;".",RIGHT(G106,1)&lt;&gt;"."),"Válido","Revisar"))</f>
        <v/>
      </c>
      <c r="N106" s="8">
        <f>IF(F106="","",IF(LEN(SUBSTITUTE(SUBSTITUTE(SUBSTITUTE(SUBSTITUTE(F106,"+507",""),"-",""),"(",""),")",""))=8,"Válido","Revisar"))</f>
        <v/>
      </c>
      <c r="O106" s="7" t="inlineStr">
        <is>
          <t>Encontrado vía TomTom Maps (POI residencial confirmado, existencia real). Sin teléfono público listado — verificar en portería o con la administración en persona.</t>
        </is>
      </c>
    </row>
    <row r="107">
      <c r="A107" s="6">
        <f>IF(B107="","",ROW()-1)</f>
        <v/>
      </c>
      <c r="B107" s="7" t="inlineStr">
        <is>
          <t>Rue Royale</t>
        </is>
      </c>
      <c r="C107" s="7" t="inlineStr">
        <is>
          <t>PH/Residencial</t>
        </is>
      </c>
      <c r="D107" s="7" t="inlineStr">
        <is>
          <t>San Francisco</t>
        </is>
      </c>
      <c r="E107" s="7" t="inlineStr">
        <is>
          <t>San Francisco, Panamá</t>
        </is>
      </c>
      <c r="F107" s="7" t="n"/>
      <c r="G107" s="7" t="n"/>
      <c r="H107" s="7" t="n"/>
      <c r="I107" s="7" t="n"/>
      <c r="J107" t="inlineStr">
        <is>
          <t>No</t>
        </is>
      </c>
      <c r="K107" s="7" t="inlineStr">
        <is>
          <t>Por verificar</t>
        </is>
      </c>
      <c r="L107" s="8">
        <f>IF(B107="","",IF(COUNTIFS($B$2:B107,B107,$D$2:D107,D107)&gt;1,"SI","NO"))</f>
        <v/>
      </c>
      <c r="M107" s="8">
        <f>IF(G107="","",IF(AND(ISNUMBER(SEARCH("@",G107)),ISNUMBER(SEARCH(".",G107,SEARCH("@",G107))),LEN(G107)-LEN(SUBSTITUTE(G107,"@",""))=1,MID(G107,SEARCH("@",G107)+1,1)&lt;&gt;".",RIGHT(G107,1)&lt;&gt;"."),"Válido","Revisar"))</f>
        <v/>
      </c>
      <c r="N107" s="8">
        <f>IF(F107="","",IF(LEN(SUBSTITUTE(SUBSTITUTE(SUBSTITUTE(SUBSTITUTE(F107,"+507",""),"-",""),"(",""),")",""))=8,"Válido","Revisar"))</f>
        <v/>
      </c>
      <c r="O107" s="7" t="inlineStr">
        <is>
          <t>Encontrado vía TomTom Maps (POI residencial confirmado, existencia real). Sin teléfono público listado — verificar en portería o con la administración en persona.</t>
        </is>
      </c>
    </row>
    <row r="108">
      <c r="A108" s="6">
        <f>IF(B108="","",ROW()-1)</f>
        <v/>
      </c>
      <c r="B108" s="7" t="inlineStr">
        <is>
          <t>Plaza Sevilla</t>
        </is>
      </c>
      <c r="C108" s="7" t="inlineStr">
        <is>
          <t>PH/Residencial</t>
        </is>
      </c>
      <c r="D108" s="7" t="inlineStr">
        <is>
          <t>San Francisco</t>
        </is>
      </c>
      <c r="E108" s="7" t="inlineStr">
        <is>
          <t>San Francisco, Panamá</t>
        </is>
      </c>
      <c r="F108" s="7" t="n"/>
      <c r="G108" s="7" t="n"/>
      <c r="H108" s="7" t="n"/>
      <c r="I108" s="7" t="n"/>
      <c r="J108" t="inlineStr">
        <is>
          <t>No</t>
        </is>
      </c>
      <c r="K108" s="7" t="inlineStr">
        <is>
          <t>Por verificar</t>
        </is>
      </c>
      <c r="L108" s="8">
        <f>IF(B108="","",IF(COUNTIFS($B$2:B108,B108,$D$2:D108,D108)&gt;1,"SI","NO"))</f>
        <v/>
      </c>
      <c r="M108" s="8">
        <f>IF(G108="","",IF(AND(ISNUMBER(SEARCH("@",G108)),ISNUMBER(SEARCH(".",G108,SEARCH("@",G108))),LEN(G108)-LEN(SUBSTITUTE(G108,"@",""))=1,MID(G108,SEARCH("@",G108)+1,1)&lt;&gt;".",RIGHT(G108,1)&lt;&gt;"."),"Válido","Revisar"))</f>
        <v/>
      </c>
      <c r="N108" s="8">
        <f>IF(F108="","",IF(LEN(SUBSTITUTE(SUBSTITUTE(SUBSTITUTE(SUBSTITUTE(F108,"+507",""),"-",""),"(",""),")",""))=8,"Válido","Revisar"))</f>
        <v/>
      </c>
      <c r="O108" s="7" t="inlineStr">
        <is>
          <t>Encontrado vía TomTom Maps (POI residencial confirmado, existencia real). Sin teléfono público listado — verificar en portería o con la administración en persona.</t>
        </is>
      </c>
    </row>
    <row r="109">
      <c r="A109" s="6">
        <f>IF(B109="","",ROW()-1)</f>
        <v/>
      </c>
      <c r="B109" s="7" t="inlineStr">
        <is>
          <t>Condominio Melchor</t>
        </is>
      </c>
      <c r="C109" s="7" t="inlineStr">
        <is>
          <t>PH/Residencial</t>
        </is>
      </c>
      <c r="D109" s="7" t="inlineStr">
        <is>
          <t>San Francisco</t>
        </is>
      </c>
      <c r="E109" s="7" t="inlineStr">
        <is>
          <t>San Francisco, Panamá</t>
        </is>
      </c>
      <c r="F109" s="7" t="n"/>
      <c r="G109" s="7" t="n"/>
      <c r="H109" s="7" t="n"/>
      <c r="I109" s="7" t="n"/>
      <c r="J109" t="inlineStr">
        <is>
          <t>No</t>
        </is>
      </c>
      <c r="K109" s="7" t="inlineStr">
        <is>
          <t>Por verificar</t>
        </is>
      </c>
      <c r="L109" s="8">
        <f>IF(B109="","",IF(COUNTIFS($B$2:B109,B109,$D$2:D109,D109)&gt;1,"SI","NO"))</f>
        <v/>
      </c>
      <c r="M109" s="8">
        <f>IF(G109="","",IF(AND(ISNUMBER(SEARCH("@",G109)),ISNUMBER(SEARCH(".",G109,SEARCH("@",G109))),LEN(G109)-LEN(SUBSTITUTE(G109,"@",""))=1,MID(G109,SEARCH("@",G109)+1,1)&lt;&gt;".",RIGHT(G109,1)&lt;&gt;"."),"Válido","Revisar"))</f>
        <v/>
      </c>
      <c r="N109" s="8">
        <f>IF(F109="","",IF(LEN(SUBSTITUTE(SUBSTITUTE(SUBSTITUTE(SUBSTITUTE(F109,"+507",""),"-",""),"(",""),")",""))=8,"Válido","Revisar"))</f>
        <v/>
      </c>
      <c r="O109" s="7" t="inlineStr">
        <is>
          <t>Encontrado vía TomTom Maps (POI residencial confirmado, existencia real). Sin teléfono público listado — verificar en portería o con la administración en persona.</t>
        </is>
      </c>
    </row>
    <row r="110">
      <c r="A110" s="6">
        <f>IF(B110="","",ROW()-1)</f>
        <v/>
      </c>
      <c r="B110" s="7" t="inlineStr">
        <is>
          <t>Villas del Rosario</t>
        </is>
      </c>
      <c r="C110" s="7" t="inlineStr">
        <is>
          <t>PH/Residencial</t>
        </is>
      </c>
      <c r="D110" s="7" t="inlineStr">
        <is>
          <t>San Francisco</t>
        </is>
      </c>
      <c r="E110" s="7" t="inlineStr">
        <is>
          <t>San Francisco, Panamá</t>
        </is>
      </c>
      <c r="F110" s="7" t="n"/>
      <c r="G110" s="7" t="n"/>
      <c r="H110" s="7" t="n"/>
      <c r="I110" s="7" t="n"/>
      <c r="J110" t="inlineStr">
        <is>
          <t>No</t>
        </is>
      </c>
      <c r="K110" s="7" t="inlineStr">
        <is>
          <t>Por verificar</t>
        </is>
      </c>
      <c r="L110" s="8">
        <f>IF(B110="","",IF(COUNTIFS($B$2:B110,B110,$D$2:D110,D110)&gt;1,"SI","NO"))</f>
        <v/>
      </c>
      <c r="M110" s="8">
        <f>IF(G110="","",IF(AND(ISNUMBER(SEARCH("@",G110)),ISNUMBER(SEARCH(".",G110,SEARCH("@",G110))),LEN(G110)-LEN(SUBSTITUTE(G110,"@",""))=1,MID(G110,SEARCH("@",G110)+1,1)&lt;&gt;".",RIGHT(G110,1)&lt;&gt;"."),"Válido","Revisar"))</f>
        <v/>
      </c>
      <c r="N110" s="8">
        <f>IF(F110="","",IF(LEN(SUBSTITUTE(SUBSTITUTE(SUBSTITUTE(SUBSTITUTE(F110,"+507",""),"-",""),"(",""),")",""))=8,"Válido","Revisar"))</f>
        <v/>
      </c>
      <c r="O110" s="7" t="inlineStr">
        <is>
          <t>Encontrado vía TomTom Maps (POI residencial confirmado, existencia real). Sin teléfono público listado — verificar en portería o con la administración en persona.</t>
        </is>
      </c>
    </row>
    <row r="111">
      <c r="A111" s="6">
        <f>IF(B111="","",ROW()-1)</f>
        <v/>
      </c>
      <c r="B111" s="7" t="inlineStr">
        <is>
          <t>P.H. Prestige</t>
        </is>
      </c>
      <c r="C111" s="7" t="inlineStr">
        <is>
          <t>PH/Residencial</t>
        </is>
      </c>
      <c r="D111" s="7" t="inlineStr">
        <is>
          <t>San Francisco</t>
        </is>
      </c>
      <c r="E111" s="7" t="inlineStr">
        <is>
          <t>San Francisco, Panamá</t>
        </is>
      </c>
      <c r="F111" s="7" t="n"/>
      <c r="G111" s="7" t="n"/>
      <c r="H111" s="7" t="n"/>
      <c r="I111" s="7" t="n"/>
      <c r="J111" t="inlineStr">
        <is>
          <t>No</t>
        </is>
      </c>
      <c r="K111" s="7" t="inlineStr">
        <is>
          <t>Por verificar</t>
        </is>
      </c>
      <c r="L111" s="8">
        <f>IF(B111="","",IF(COUNTIFS($B$2:B111,B111,$D$2:D111,D111)&gt;1,"SI","NO"))</f>
        <v/>
      </c>
      <c r="M111" s="8">
        <f>IF(G111="","",IF(AND(ISNUMBER(SEARCH("@",G111)),ISNUMBER(SEARCH(".",G111,SEARCH("@",G111))),LEN(G111)-LEN(SUBSTITUTE(G111,"@",""))=1,MID(G111,SEARCH("@",G111)+1,1)&lt;&gt;".",RIGHT(G111,1)&lt;&gt;"."),"Válido","Revisar"))</f>
        <v/>
      </c>
      <c r="N111" s="8">
        <f>IF(F111="","",IF(LEN(SUBSTITUTE(SUBSTITUTE(SUBSTITUTE(SUBSTITUTE(F111,"+507",""),"-",""),"(",""),")",""))=8,"Válido","Revisar"))</f>
        <v/>
      </c>
      <c r="O111" s="7" t="inlineStr">
        <is>
          <t>Encontrado vía TomTom Maps (POI residencial confirmado, existencia real). Sin teléfono público listado — verificar en portería o con la administración en persona.</t>
        </is>
      </c>
    </row>
    <row r="112">
      <c r="A112" s="6">
        <f>IF(B112="","",ROW()-1)</f>
        <v/>
      </c>
      <c r="B112" s="7" t="inlineStr">
        <is>
          <t>P.H. Brisas (Carrasquilla)</t>
        </is>
      </c>
      <c r="C112" s="7" t="inlineStr">
        <is>
          <t>PH/Residencial</t>
        </is>
      </c>
      <c r="D112" s="7" t="inlineStr">
        <is>
          <t>San Francisco</t>
        </is>
      </c>
      <c r="E112" s="7" t="inlineStr">
        <is>
          <t>Calle Carrasquilla, San Francisco, Panamá</t>
        </is>
      </c>
      <c r="F112" s="7" t="n"/>
      <c r="G112" s="7" t="n"/>
      <c r="H112" s="7" t="n"/>
      <c r="I112" s="7" t="n"/>
      <c r="J112" t="inlineStr">
        <is>
          <t>No</t>
        </is>
      </c>
      <c r="K112" s="7" t="inlineStr">
        <is>
          <t>Por verificar</t>
        </is>
      </c>
      <c r="L112" s="8">
        <f>IF(B112="","",IF(COUNTIFS($B$2:B112,B112,$D$2:D112,D112)&gt;1,"SI","NO"))</f>
        <v/>
      </c>
      <c r="M112" s="8">
        <f>IF(G112="","",IF(AND(ISNUMBER(SEARCH("@",G112)),ISNUMBER(SEARCH(".",G112,SEARCH("@",G112))),LEN(G112)-LEN(SUBSTITUTE(G112,"@",""))=1,MID(G112,SEARCH("@",G112)+1,1)&lt;&gt;".",RIGHT(G112,1)&lt;&gt;"."),"Válido","Revisar"))</f>
        <v/>
      </c>
      <c r="N112" s="8">
        <f>IF(F112="","",IF(LEN(SUBSTITUTE(SUBSTITUTE(SUBSTITUTE(SUBSTITUTE(F112,"+507",""),"-",""),"(",""),")",""))=8,"Válido","Revisar"))</f>
        <v/>
      </c>
      <c r="O112" s="7" t="inlineStr">
        <is>
          <t>Probablemente corresponde a 'P.H. Brisas de España', edificio conocido en esa misma calle — confirmar el nombre exacto en el lugar. Sin teléfono público listado.</t>
        </is>
      </c>
    </row>
    <row r="113">
      <c r="A113" s="6">
        <f>IF(B113="","",ROW()-1)</f>
        <v/>
      </c>
      <c r="B113" s="7" t="inlineStr">
        <is>
          <t>P.H. Carrasquilla Place</t>
        </is>
      </c>
      <c r="C113" s="7" t="inlineStr">
        <is>
          <t>PH/Residencial</t>
        </is>
      </c>
      <c r="D113" s="7" t="inlineStr">
        <is>
          <t>San Francisco</t>
        </is>
      </c>
      <c r="E113" s="7" t="inlineStr">
        <is>
          <t>San Francisco, Panamá</t>
        </is>
      </c>
      <c r="F113" s="7" t="n"/>
      <c r="G113" s="7" t="n"/>
      <c r="H113" s="7" t="n"/>
      <c r="I113" s="7" t="n"/>
      <c r="J113" t="inlineStr">
        <is>
          <t>No</t>
        </is>
      </c>
      <c r="K113" s="7" t="inlineStr">
        <is>
          <t>Por verificar</t>
        </is>
      </c>
      <c r="L113" s="8">
        <f>IF(B113="","",IF(COUNTIFS($B$2:B113,B113,$D$2:D113,D113)&gt;1,"SI","NO"))</f>
        <v/>
      </c>
      <c r="M113" s="8">
        <f>IF(G113="","",IF(AND(ISNUMBER(SEARCH("@",G113)),ISNUMBER(SEARCH(".",G113,SEARCH("@",G113))),LEN(G113)-LEN(SUBSTITUTE(G113,"@",""))=1,MID(G113,SEARCH("@",G113)+1,1)&lt;&gt;".",RIGHT(G113,1)&lt;&gt;"."),"Válido","Revisar"))</f>
        <v/>
      </c>
      <c r="N113" s="8">
        <f>IF(F113="","",IF(LEN(SUBSTITUTE(SUBSTITUTE(SUBSTITUTE(SUBSTITUTE(F113,"+507",""),"-",""),"(",""),")",""))=8,"Válido","Revisar"))</f>
        <v/>
      </c>
      <c r="O113" s="7" t="inlineStr">
        <is>
          <t>Encontrado vía TomTom Maps (POI residencial confirmado, existencia real). Sin teléfono público listado — verificar en portería o con la administración en persona.</t>
        </is>
      </c>
    </row>
    <row r="114">
      <c r="A114" s="6">
        <f>IF(B114="","",ROW()-1)</f>
        <v/>
      </c>
      <c r="B114" s="7" t="inlineStr">
        <is>
          <t>Setton Place</t>
        </is>
      </c>
      <c r="C114" s="7" t="inlineStr">
        <is>
          <t>PH/Residencial</t>
        </is>
      </c>
      <c r="D114" s="7" t="inlineStr">
        <is>
          <t>El Cangrejo</t>
        </is>
      </c>
      <c r="E114" s="7" t="inlineStr">
        <is>
          <t>Calle Doctor Alberto Navarro, El Cangrejo, Panamá</t>
        </is>
      </c>
      <c r="F114" s="7" t="n"/>
      <c r="G114" s="7" t="n"/>
      <c r="H114" s="7" t="n"/>
      <c r="I114" s="7" t="n"/>
      <c r="J114" t="inlineStr">
        <is>
          <t>No</t>
        </is>
      </c>
      <c r="K114" s="7" t="inlineStr">
        <is>
          <t>Por verificar</t>
        </is>
      </c>
      <c r="L114" s="8">
        <f>IF(B114="","",IF(COUNTIFS($B$2:B114,B114,$D$2:D114,D114)&gt;1,"SI","NO"))</f>
        <v/>
      </c>
      <c r="M114" s="8">
        <f>IF(G114="","",IF(AND(ISNUMBER(SEARCH("@",G114)),ISNUMBER(SEARCH(".",G114,SEARCH("@",G114))),LEN(G114)-LEN(SUBSTITUTE(G114,"@",""))=1,MID(G114,SEARCH("@",G114)+1,1)&lt;&gt;".",RIGHT(G114,1)&lt;&gt;"."),"Válido","Revisar"))</f>
        <v/>
      </c>
      <c r="N114" s="8">
        <f>IF(F114="","",IF(LEN(SUBSTITUTE(SUBSTITUTE(SUBSTITUTE(SUBSTITUTE(F114,"+507",""),"-",""),"(",""),")",""))=8,"Válido","Revisar"))</f>
        <v/>
      </c>
      <c r="O114" s="7" t="inlineStr">
        <is>
          <t>Encontrado vía TomTom Maps (POI residencial confirmado, existencia real). Sin teléfono público listado — verificar en portería o con la administración en persona.</t>
        </is>
      </c>
    </row>
    <row r="115">
      <c r="A115" s="6">
        <f>IF(B115="","",ROW()-1)</f>
        <v/>
      </c>
      <c r="B115" s="7" t="inlineStr">
        <is>
          <t>PH Vivaldi</t>
        </is>
      </c>
      <c r="C115" s="7" t="inlineStr">
        <is>
          <t>PH/Residencial</t>
        </is>
      </c>
      <c r="D115" s="7" t="inlineStr">
        <is>
          <t>El Cangrejo</t>
        </is>
      </c>
      <c r="E115" s="7" t="inlineStr">
        <is>
          <t>Avenida Abel Bravo, El Cangrejo, Panamá</t>
        </is>
      </c>
      <c r="F115" s="7" t="n"/>
      <c r="G115" s="7" t="n"/>
      <c r="H115" s="7" t="n"/>
      <c r="I115" s="7" t="n"/>
      <c r="J115" t="inlineStr">
        <is>
          <t>No</t>
        </is>
      </c>
      <c r="K115" s="7" t="inlineStr">
        <is>
          <t>Por verificar</t>
        </is>
      </c>
      <c r="L115" s="8">
        <f>IF(B115="","",IF(COUNTIFS($B$2:B115,B115,$D$2:D115,D115)&gt;1,"SI","NO"))</f>
        <v/>
      </c>
      <c r="M115" s="8">
        <f>IF(G115="","",IF(AND(ISNUMBER(SEARCH("@",G115)),ISNUMBER(SEARCH(".",G115,SEARCH("@",G115))),LEN(G115)-LEN(SUBSTITUTE(G115,"@",""))=1,MID(G115,SEARCH("@",G115)+1,1)&lt;&gt;".",RIGHT(G115,1)&lt;&gt;"."),"Válido","Revisar"))</f>
        <v/>
      </c>
      <c r="N115" s="8">
        <f>IF(F115="","",IF(LEN(SUBSTITUTE(SUBSTITUTE(SUBSTITUTE(SUBSTITUTE(F115,"+507",""),"-",""),"(",""),")",""))=8,"Válido","Revisar"))</f>
        <v/>
      </c>
      <c r="O115" s="7" t="inlineStr">
        <is>
          <t>Encontrado vía TomTom Maps (POI residencial confirmado, existencia real). Sin teléfono público listado — verificar en portería o con la administración en persona.</t>
        </is>
      </c>
    </row>
    <row r="116">
      <c r="A116" s="6">
        <f>IF(B116="","",ROW()-1)</f>
        <v/>
      </c>
      <c r="B116" s="7" t="inlineStr">
        <is>
          <t>Residencial Don Arturo</t>
        </is>
      </c>
      <c r="C116" s="7" t="inlineStr">
        <is>
          <t>PH/Residencial</t>
        </is>
      </c>
      <c r="D116" s="7" t="inlineStr">
        <is>
          <t>El Cangrejo</t>
        </is>
      </c>
      <c r="E116" s="7" t="inlineStr">
        <is>
          <t>El Cangrejo, Panamá</t>
        </is>
      </c>
      <c r="F116" s="7" t="n"/>
      <c r="G116" s="7" t="n"/>
      <c r="H116" s="7" t="n"/>
      <c r="I116" s="7" t="n"/>
      <c r="J116" t="inlineStr">
        <is>
          <t>No</t>
        </is>
      </c>
      <c r="K116" s="7" t="inlineStr">
        <is>
          <t>Por verificar</t>
        </is>
      </c>
      <c r="L116" s="8">
        <f>IF(B116="","",IF(COUNTIFS($B$2:B116,B116,$D$2:D116,D116)&gt;1,"SI","NO"))</f>
        <v/>
      </c>
      <c r="M116" s="8">
        <f>IF(G116="","",IF(AND(ISNUMBER(SEARCH("@",G116)),ISNUMBER(SEARCH(".",G116,SEARCH("@",G116))),LEN(G116)-LEN(SUBSTITUTE(G116,"@",""))=1,MID(G116,SEARCH("@",G116)+1,1)&lt;&gt;".",RIGHT(G116,1)&lt;&gt;"."),"Válido","Revisar"))</f>
        <v/>
      </c>
      <c r="N116" s="8">
        <f>IF(F116="","",IF(LEN(SUBSTITUTE(SUBSTITUTE(SUBSTITUTE(SUBSTITUTE(F116,"+507",""),"-",""),"(",""),")",""))=8,"Válido","Revisar"))</f>
        <v/>
      </c>
      <c r="O116" s="7" t="inlineStr">
        <is>
          <t>Encontrado vía TomTom Maps (POI residencial confirmado, existencia real). Sin teléfono público listado — verificar en portería o con la administración en persona.</t>
        </is>
      </c>
    </row>
    <row r="117">
      <c r="A117" s="6">
        <f>IF(B117="","",ROW()-1)</f>
        <v/>
      </c>
      <c r="B117" s="7" t="inlineStr">
        <is>
          <t>P.H. Ladera de la Cresta</t>
        </is>
      </c>
      <c r="C117" s="7" t="inlineStr">
        <is>
          <t>PH/Residencial</t>
        </is>
      </c>
      <c r="D117" s="7" t="inlineStr">
        <is>
          <t>El Cangrejo</t>
        </is>
      </c>
      <c r="E117" s="7" t="inlineStr">
        <is>
          <t>Calle La Colina, El Cangrejo, Panamá</t>
        </is>
      </c>
      <c r="F117" s="7" t="n"/>
      <c r="G117" s="7" t="n"/>
      <c r="H117" s="7" t="n"/>
      <c r="I117" s="7" t="n"/>
      <c r="J117" t="inlineStr">
        <is>
          <t>No</t>
        </is>
      </c>
      <c r="K117" s="7" t="inlineStr">
        <is>
          <t>Por verificar</t>
        </is>
      </c>
      <c r="L117" s="8">
        <f>IF(B117="","",IF(COUNTIFS($B$2:B117,B117,$D$2:D117,D117)&gt;1,"SI","NO"))</f>
        <v/>
      </c>
      <c r="M117" s="8">
        <f>IF(G117="","",IF(AND(ISNUMBER(SEARCH("@",G117)),ISNUMBER(SEARCH(".",G117,SEARCH("@",G117))),LEN(G117)-LEN(SUBSTITUTE(G117,"@",""))=1,MID(G117,SEARCH("@",G117)+1,1)&lt;&gt;".",RIGHT(G117,1)&lt;&gt;"."),"Válido","Revisar"))</f>
        <v/>
      </c>
      <c r="N117" s="8">
        <f>IF(F117="","",IF(LEN(SUBSTITUTE(SUBSTITUTE(SUBSTITUTE(SUBSTITUTE(F117,"+507",""),"-",""),"(",""),")",""))=8,"Válido","Revisar"))</f>
        <v/>
      </c>
      <c r="O117" s="7" t="inlineStr">
        <is>
          <t>Encontrado vía TomTom Maps (POI residencial confirmado, existencia real). Sin teléfono público listado — verificar en portería o con la administración en persona.</t>
        </is>
      </c>
    </row>
    <row r="118">
      <c r="A118" s="6">
        <f>IF(B118="","",ROW()-1)</f>
        <v/>
      </c>
      <c r="B118" s="7" t="inlineStr">
        <is>
          <t>P.H. Villas del Carmen</t>
        </is>
      </c>
      <c r="C118" s="7" t="inlineStr">
        <is>
          <t>PH/Residencial</t>
        </is>
      </c>
      <c r="D118" s="7" t="inlineStr">
        <is>
          <t>El Cangrejo</t>
        </is>
      </c>
      <c r="E118" s="7" t="inlineStr">
        <is>
          <t>Calle José de Fábrega (entre Universidad de Panamá y CSS), El Cangrejo, Panamá</t>
        </is>
      </c>
      <c r="F118" s="7" t="n"/>
      <c r="G118" s="7" t="inlineStr">
        <is>
          <t>infovillaelcarmen@gmail.com</t>
        </is>
      </c>
      <c r="H118" s="7" t="n"/>
      <c r="I118" s="7" t="n"/>
      <c r="J118" t="inlineStr">
        <is>
          <t>No</t>
        </is>
      </c>
      <c r="K118" s="7" t="inlineStr">
        <is>
          <t>Por verificar</t>
        </is>
      </c>
      <c r="L118" s="8">
        <f>IF(B118="","",IF(COUNTIFS($B$2:B118,B118,$D$2:D118,D118)&gt;1,"SI","NO"))</f>
        <v/>
      </c>
      <c r="M118" s="8">
        <f>IF(G118="","",IF(AND(ISNUMBER(SEARCH("@",G118)),ISNUMBER(SEARCH(".",G118,SEARCH("@",G118))),LEN(G118)-LEN(SUBSTITUTE(G118,"@",""))=1,MID(G118,SEARCH("@",G118)+1,1)&lt;&gt;".",RIGHT(G118,1)&lt;&gt;"."),"Válido","Revisar"))</f>
        <v/>
      </c>
      <c r="N118" s="8">
        <f>IF(F118="","",IF(LEN(SUBSTITUTE(SUBSTITUTE(SUBSTITUTE(SUBSTITUTE(F118,"+507",""),"-",""),"(",""),")",""))=8,"Válido","Revisar"))</f>
        <v/>
      </c>
      <c r="O118" s="7" t="inlineStr">
        <is>
          <t>Correo encontrado pertenece a 'PH Villa el Carmen' (nombre muy similar, misma zona) — podría ser el mismo edificio con nombre ligeramente distinto o uno diferente. Confirmar antes de escribir.</t>
        </is>
      </c>
    </row>
    <row r="119">
      <c r="A119" s="6">
        <f>IF(B119="","",ROW()-1)</f>
        <v/>
      </c>
      <c r="B119" s="7" t="inlineStr">
        <is>
          <t>P.H. Villa Medici</t>
        </is>
      </c>
      <c r="C119" s="7" t="inlineStr">
        <is>
          <t>PH/Residencial</t>
        </is>
      </c>
      <c r="D119" s="7" t="inlineStr">
        <is>
          <t>Vía España</t>
        </is>
      </c>
      <c r="E119" s="7" t="inlineStr">
        <is>
          <t>Calle Otilia A. de Tejeira, Vía España, Panamá</t>
        </is>
      </c>
      <c r="F119" s="7" t="n"/>
      <c r="G119" s="7" t="n"/>
      <c r="H119" s="7" t="n"/>
      <c r="I119" s="7" t="n"/>
      <c r="J119" t="inlineStr">
        <is>
          <t>No</t>
        </is>
      </c>
      <c r="K119" s="7" t="inlineStr">
        <is>
          <t>Por verificar</t>
        </is>
      </c>
      <c r="L119" s="8">
        <f>IF(B119="","",IF(COUNTIFS($B$2:B119,B119,$D$2:D119,D119)&gt;1,"SI","NO"))</f>
        <v/>
      </c>
      <c r="M119" s="8">
        <f>IF(G119="","",IF(AND(ISNUMBER(SEARCH("@",G119)),ISNUMBER(SEARCH(".",G119,SEARCH("@",G119))),LEN(G119)-LEN(SUBSTITUTE(G119,"@",""))=1,MID(G119,SEARCH("@",G119)+1,1)&lt;&gt;".",RIGHT(G119,1)&lt;&gt;"."),"Válido","Revisar"))</f>
        <v/>
      </c>
      <c r="N119" s="8">
        <f>IF(F119="","",IF(LEN(SUBSTITUTE(SUBSTITUTE(SUBSTITUTE(SUBSTITUTE(F119,"+507",""),"-",""),"(",""),")",""))=8,"Válido","Revisar"))</f>
        <v/>
      </c>
      <c r="O119" s="7" t="inlineStr">
        <is>
          <t>Encontrado vía TomTom Maps (POI residencial confirmado, existencia real). Sin teléfono público listado — verificar en portería o con la administración en persona.</t>
        </is>
      </c>
    </row>
    <row r="120">
      <c r="A120" s="6">
        <f>IF(B120="","",ROW()-1)</f>
        <v/>
      </c>
      <c r="B120" s="7" t="inlineStr">
        <is>
          <t>Aires del Carmen</t>
        </is>
      </c>
      <c r="C120" s="7" t="inlineStr">
        <is>
          <t>PH/Residencial</t>
        </is>
      </c>
      <c r="D120" s="7" t="inlineStr">
        <is>
          <t>Vía España</t>
        </is>
      </c>
      <c r="E120" s="7" t="inlineStr">
        <is>
          <t>Vía España, Panamá</t>
        </is>
      </c>
      <c r="F120" s="7" t="n"/>
      <c r="G120" s="7" t="n"/>
      <c r="H120" s="7" t="n"/>
      <c r="I120" s="7" t="n"/>
      <c r="J120" t="inlineStr">
        <is>
          <t>No</t>
        </is>
      </c>
      <c r="K120" s="7" t="inlineStr">
        <is>
          <t>Por verificar</t>
        </is>
      </c>
      <c r="L120" s="8">
        <f>IF(B120="","",IF(COUNTIFS($B$2:B120,B120,$D$2:D120,D120)&gt;1,"SI","NO"))</f>
        <v/>
      </c>
      <c r="M120" s="8">
        <f>IF(G120="","",IF(AND(ISNUMBER(SEARCH("@",G120)),ISNUMBER(SEARCH(".",G120,SEARCH("@",G120))),LEN(G120)-LEN(SUBSTITUTE(G120,"@",""))=1,MID(G120,SEARCH("@",G120)+1,1)&lt;&gt;".",RIGHT(G120,1)&lt;&gt;"."),"Válido","Revisar"))</f>
        <v/>
      </c>
      <c r="N120" s="8">
        <f>IF(F120="","",IF(LEN(SUBSTITUTE(SUBSTITUTE(SUBSTITUTE(SUBSTITUTE(F120,"+507",""),"-",""),"(",""),")",""))=8,"Válido","Revisar"))</f>
        <v/>
      </c>
      <c r="O120" s="7" t="inlineStr">
        <is>
          <t>Encontrado vía TomTom Maps (POI residencial confirmado, existencia real). Sin teléfono público listado — verificar en portería o con la administración en persona.</t>
        </is>
      </c>
    </row>
    <row r="121">
      <c r="A121" s="6">
        <f>IF(B121="","",ROW()-1)</f>
        <v/>
      </c>
      <c r="B121" s="7" t="inlineStr">
        <is>
          <t>Balmoral Gardens</t>
        </is>
      </c>
      <c r="C121" s="7" t="inlineStr">
        <is>
          <t>PH/Residencial</t>
        </is>
      </c>
      <c r="D121" s="7" t="inlineStr">
        <is>
          <t>Pedregal</t>
        </is>
      </c>
      <c r="E121" s="7" t="inlineStr">
        <is>
          <t>Calle 1ra Oeste, Urb. Balmoral, Pedregal, Panamá</t>
        </is>
      </c>
      <c r="F121" s="7" t="inlineStr"/>
      <c r="G121" s="7" t="inlineStr"/>
      <c r="H121" s="7" t="inlineStr"/>
      <c r="I121" s="7" t="n"/>
      <c r="J121" t="inlineStr">
        <is>
          <t>No</t>
        </is>
      </c>
      <c r="K121" s="7" t="inlineStr">
        <is>
          <t>Sin verificar</t>
        </is>
      </c>
      <c r="L121" s="8">
        <f>IF(B121="","",IF(COUNTIFS($B$2:B121,B121,$D$2:D121,D121)&gt;1,"SI","NO"))</f>
        <v/>
      </c>
      <c r="M121" s="8">
        <f>IF(G121="","",IF(AND(ISNUMBER(SEARCH("@",G121)),ISNUMBER(SEARCH(".",G121,SEARCH("@",G121))),LEN(G121)-LEN(SUBSTITUTE(G121,"@",""))=1,MID(G121,SEARCH("@",G121)+1,1)&lt;&gt;".",RIGHT(G121,1)&lt;&gt;"."),"Válido","Revisar"))</f>
        <v/>
      </c>
      <c r="N121" s="8">
        <f>IF(F121="","",IF(LEN(SUBSTITUTE(SUBSTITUTE(SUBSTITUTE(SUBSTITUTE(F121,"+507",""),"-",""),"(",""),")",""))=8,"Válido","Revisar"))</f>
        <v/>
      </c>
      <c r="O121" s="7" t="inlineStr">
        <is>
          <t>Proyecto de BAU Panamá / Balmoral Gardens S.A. Sin teléfono de administración público — solo formulario de contacto de ventas en baupanama.com. Verificar en persona.</t>
        </is>
      </c>
    </row>
    <row r="122">
      <c r="A122" s="6">
        <f>IF(B122="","",ROW()-1)</f>
        <v/>
      </c>
      <c r="B122" s="7" t="inlineStr">
        <is>
          <t>PH Terrazas del Balmoral</t>
        </is>
      </c>
      <c r="C122" s="7" t="inlineStr">
        <is>
          <t>PH/Residencial</t>
        </is>
      </c>
      <c r="D122" s="7" t="inlineStr">
        <is>
          <t>Pedregal</t>
        </is>
      </c>
      <c r="E122" s="7" t="inlineStr">
        <is>
          <t>Vía C. Rana de Oro, Pedregal, Panamá</t>
        </is>
      </c>
      <c r="F122" s="7" t="inlineStr"/>
      <c r="G122" s="7" t="inlineStr"/>
      <c r="H122" s="7" t="inlineStr"/>
      <c r="I122" s="7" t="n"/>
      <c r="J122" t="inlineStr">
        <is>
          <t>No</t>
        </is>
      </c>
      <c r="K122" s="7" t="inlineStr">
        <is>
          <t>Sin verificar</t>
        </is>
      </c>
      <c r="L122" s="8">
        <f>IF(B122="","",IF(COUNTIFS($B$2:B122,B122,$D$2:D122,D122)&gt;1,"SI","NO"))</f>
        <v/>
      </c>
      <c r="M122" s="8">
        <f>IF(G122="","",IF(AND(ISNUMBER(SEARCH("@",G122)),ISNUMBER(SEARCH(".",G122,SEARCH("@",G122))),LEN(G122)-LEN(SUBSTITUTE(G122,"@",""))=1,MID(G122,SEARCH("@",G122)+1,1)&lt;&gt;".",RIGHT(G122,1)&lt;&gt;"."),"Válido","Revisar"))</f>
        <v/>
      </c>
      <c r="N122" s="8">
        <f>IF(F122="","",IF(LEN(SUBSTITUTE(SUBSTITUTE(SUBSTITUTE(SUBSTITUTE(F122,"+507",""),"-",""),"(",""),")",""))=8,"Válido","Revisar"))</f>
        <v/>
      </c>
      <c r="O122" s="7" t="inlineStr">
        <is>
          <t>Confirmado en listados inmobiliarios (Remax, Casa Solution). Sin teléfono de administración público — verificar en persona.</t>
        </is>
      </c>
    </row>
    <row r="123">
      <c r="A123" s="6">
        <f>IF(B123="","",ROW()-1)</f>
        <v/>
      </c>
      <c r="B123" s="7" t="inlineStr">
        <is>
          <t>PH Balmoral</t>
        </is>
      </c>
      <c r="C123" s="7" t="inlineStr">
        <is>
          <t>PH/Residencial</t>
        </is>
      </c>
      <c r="D123" s="7" t="inlineStr">
        <is>
          <t>Pedregal</t>
        </is>
      </c>
      <c r="E123" s="7" t="inlineStr">
        <is>
          <t>Urb. Balmoral, Pedregal, Panamá</t>
        </is>
      </c>
      <c r="F123" s="7" t="inlineStr"/>
      <c r="G123" s="7" t="inlineStr"/>
      <c r="H123" s="7" t="inlineStr"/>
      <c r="I123" s="7" t="n"/>
      <c r="J123" t="inlineStr">
        <is>
          <t>No</t>
        </is>
      </c>
      <c r="K123" s="7" t="inlineStr">
        <is>
          <t>Sin verificar</t>
        </is>
      </c>
      <c r="L123" s="8">
        <f>IF(B123="","",IF(COUNTIFS($B$2:B123,B123,$D$2:D123,D123)&gt;1,"SI","NO"))</f>
        <v/>
      </c>
      <c r="M123" s="8">
        <f>IF(G123="","",IF(AND(ISNUMBER(SEARCH("@",G123)),ISNUMBER(SEARCH(".",G123,SEARCH("@",G123))),LEN(G123)-LEN(SUBSTITUTE(G123,"@",""))=1,MID(G123,SEARCH("@",G123)+1,1)&lt;&gt;".",RIGHT(G123,1)&lt;&gt;"."),"Válido","Revisar"))</f>
        <v/>
      </c>
      <c r="N123" s="8">
        <f>IF(F123="","",IF(LEN(SUBSTITUTE(SUBSTITUTE(SUBSTITUTE(SUBSTITUTE(F123,"+507",""),"-",""),"(",""),")",""))=8,"Válido","Revisar"))</f>
        <v/>
      </c>
      <c r="O123" s="7" t="inlineStr">
        <is>
          <t>Nombre genérico de la urbanización Balmoral — podría referirse al mismo complejo que Balmoral Gardens o Terrazas del Balmoral. Confirmar en el lugar cuál PH específico es. Sin teléfono público.</t>
        </is>
      </c>
    </row>
    <row r="124">
      <c r="A124" s="6">
        <f>IF(B124="","",ROW()-1)</f>
        <v/>
      </c>
      <c r="B124" s="7" t="inlineStr">
        <is>
          <t>Urbanización Balmoral</t>
        </is>
      </c>
      <c r="C124" s="7" t="inlineStr">
        <is>
          <t>PH/Residencial</t>
        </is>
      </c>
      <c r="D124" s="7" t="inlineStr">
        <is>
          <t>Pedregal</t>
        </is>
      </c>
      <c r="E124" s="7" t="inlineStr">
        <is>
          <t>Av. Paseo del Mar, Urb. Balmoral, Pedregal, Panamá</t>
        </is>
      </c>
      <c r="F124" s="7" t="inlineStr"/>
      <c r="G124" s="7" t="inlineStr"/>
      <c r="H124" s="7" t="inlineStr"/>
      <c r="I124" s="7" t="n"/>
      <c r="J124" t="inlineStr">
        <is>
          <t>No</t>
        </is>
      </c>
      <c r="K124" s="7" t="inlineStr">
        <is>
          <t>Sin verificar</t>
        </is>
      </c>
      <c r="L124" s="8">
        <f>IF(B124="","",IF(COUNTIFS($B$2:B124,B124,$D$2:D124,D124)&gt;1,"SI","NO"))</f>
        <v/>
      </c>
      <c r="M124" s="8">
        <f>IF(G124="","",IF(AND(ISNUMBER(SEARCH("@",G124)),ISNUMBER(SEARCH(".",G124,SEARCH("@",G124))),LEN(G124)-LEN(SUBSTITUTE(G124,"@",""))=1,MID(G124,SEARCH("@",G124)+1,1)&lt;&gt;".",RIGHT(G124,1)&lt;&gt;"."),"Válido","Revisar"))</f>
        <v/>
      </c>
      <c r="N124" s="8">
        <f>IF(F124="","",IF(LEN(SUBSTITUTE(SUBSTITUTE(SUBSTITUTE(SUBSTITUTE(F124,"+507",""),"-",""),"(",""),")",""))=8,"Válido","Revisar"))</f>
        <v/>
      </c>
      <c r="O124" s="7" t="inlineStr">
        <is>
          <t>Urbanización completa (varios edificios/PH adentro). Sin teléfono de administración general público — verificar en persona.</t>
        </is>
      </c>
    </row>
    <row r="125">
      <c r="A125" s="6">
        <f>IF(B125="","",ROW()-1)</f>
        <v/>
      </c>
      <c r="B125" s="7" t="inlineStr">
        <is>
          <t>P.H. Mirador del Golf</t>
        </is>
      </c>
      <c r="C125" s="7" t="inlineStr">
        <is>
          <t>PH/Residencial</t>
        </is>
      </c>
      <c r="D125" s="7" t="inlineStr">
        <is>
          <t>Parque Lefevre</t>
        </is>
      </c>
      <c r="E125" s="7" t="inlineStr">
        <is>
          <t>Calle 1era, Parque Lefevre, Ciudad de Panamá</t>
        </is>
      </c>
      <c r="F125" s="7" t="inlineStr"/>
      <c r="G125" s="7" t="inlineStr"/>
      <c r="H125" s="7" t="inlineStr"/>
      <c r="I125" s="7" t="inlineStr"/>
      <c r="J125" t="inlineStr">
        <is>
          <t>No</t>
        </is>
      </c>
      <c r="K125" s="7" t="inlineStr">
        <is>
          <t>Por verificar</t>
        </is>
      </c>
      <c r="L125" s="8">
        <f>IF(B125="","",IF(COUNTIFS($B$2:B125,B125,$D$2:D125,D125)&gt;1,"SI","NO"))</f>
        <v/>
      </c>
      <c r="M125" s="8">
        <f>IF(G125="","",IF(AND(ISNUMBER(SEARCH("@",G125)),ISNUMBER(SEARCH(".",G125,SEARCH("@",G125))),LEN(G125)-LEN(SUBSTITUTE(G125,"@",""))=1,MID(G125,SEARCH("@",G125)+1,1)&lt;&gt;".",RIGHT(G125,1)&lt;&gt;"."),"Válido","Revisar"))</f>
        <v/>
      </c>
      <c r="N125" s="8">
        <f>IF(F125="","",IF(LEN(SUBSTITUTE(SUBSTITUTE(SUBSTITUTE(SUBSTITUTE(F125,"+507",""),"-",""),"(",""),")",""))=8,"Válido","Revisar"))</f>
        <v/>
      </c>
      <c r="O125" s="7" t="inlineStr">
        <is>
          <t>Torre de 12 pisos (2012), cerca de Parque Omar. Sin teléfono público listado — verificar en portería o con la administración en persona.</t>
        </is>
      </c>
    </row>
    <row r="126">
      <c r="A126" s="6">
        <f>IF(B126="","",ROW()-1)</f>
        <v/>
      </c>
      <c r="B126" s="7" t="inlineStr">
        <is>
          <t>Residencial Balmoral</t>
        </is>
      </c>
      <c r="C126" s="7" t="inlineStr">
        <is>
          <t>PH/Residencial</t>
        </is>
      </c>
      <c r="D126" s="7" t="inlineStr">
        <is>
          <t>Costa del Este</t>
        </is>
      </c>
      <c r="E126" s="7" t="inlineStr">
        <is>
          <t>Costa del Este, Panamá (dirección exacta no confirmada)</t>
        </is>
      </c>
      <c r="F126" s="7" t="inlineStr"/>
      <c r="G126" s="7" t="inlineStr"/>
      <c r="H126" s="7" t="inlineStr"/>
      <c r="I126" s="7" t="n"/>
      <c r="J126" t="inlineStr">
        <is>
          <t>No</t>
        </is>
      </c>
      <c r="K126" s="7" t="inlineStr">
        <is>
          <t>Sin verificar</t>
        </is>
      </c>
      <c r="L126" s="8">
        <f>IF(B126="","",IF(COUNTIFS($B$2:B126,B126,$D$2:D126,D126)&gt;1,"SI","NO"))</f>
        <v/>
      </c>
      <c r="M126" s="8">
        <f>IF(G126="","",IF(AND(ISNUMBER(SEARCH("@",G126)),ISNUMBER(SEARCH(".",G126,SEARCH("@",G126))),LEN(G126)-LEN(SUBSTITUTE(G126,"@",""))=1,MID(G126,SEARCH("@",G126)+1,1)&lt;&gt;".",RIGHT(G126,1)&lt;&gt;"."),"Válido","Revisar"))</f>
        <v/>
      </c>
      <c r="N126" s="8">
        <f>IF(F126="","",IF(LEN(SUBSTITUTE(SUBSTITUTE(SUBSTITUTE(SUBSTITUTE(F126,"+507",""),"-",""),"(",""),")",""))=8,"Válido","Revisar"))</f>
        <v/>
      </c>
      <c r="O126" s="7" t="inlineStr">
        <is>
          <t>Portales inmobiliarios lo listan como 'Balmoral - Costa del Este', distinto de la urbanización Balmoral en Pedregal — podría haber confusión de nombres entre ambos. Confirmar cuál es antes de visitar. Sin teléfono público.</t>
        </is>
      </c>
    </row>
    <row r="127">
      <c r="A127" s="6">
        <f>IF(B127="","",ROW()-1)</f>
        <v/>
      </c>
      <c r="B127" s="7" t="inlineStr">
        <is>
          <t>Casa Bianca</t>
        </is>
      </c>
      <c r="C127" s="7" t="inlineStr">
        <is>
          <t>PH/Residencial</t>
        </is>
      </c>
      <c r="D127" s="7" t="inlineStr">
        <is>
          <t>Costa del Este</t>
        </is>
      </c>
      <c r="E127" s="7" t="inlineStr">
        <is>
          <t>Ave. Paseo del Mar, frente a Town Center, Costa del Este, Panamá</t>
        </is>
      </c>
      <c r="F127" s="7" t="inlineStr">
        <is>
          <t>214-2376</t>
        </is>
      </c>
      <c r="G127" s="7" t="inlineStr">
        <is>
          <t>administracion@empresasbern.com</t>
        </is>
      </c>
      <c r="H127" s="7" t="inlineStr">
        <is>
          <t>empresasbern.com</t>
        </is>
      </c>
      <c r="I127" s="7" t="n"/>
      <c r="J127" t="inlineStr">
        <is>
          <t>No</t>
        </is>
      </c>
      <c r="K127" s="7" t="inlineStr">
        <is>
          <t>Verificado por teléfono</t>
        </is>
      </c>
      <c r="L127" s="8">
        <f>IF(B127="","",IF(COUNTIFS($B$2:B127,B127,$D$2:D127,D127)&gt;1,"SI","NO"))</f>
        <v/>
      </c>
      <c r="M127" s="8">
        <f>IF(G127="","",IF(AND(ISNUMBER(SEARCH("@",G127)),ISNUMBER(SEARCH(".",G127,SEARCH("@",G127))),LEN(G127)-LEN(SUBSTITUTE(G127,"@",""))=1,MID(G127,SEARCH("@",G127)+1,1)&lt;&gt;".",RIGHT(G127,1)&lt;&gt;"."),"Válido","Revisar"))</f>
        <v/>
      </c>
      <c r="N127" s="8">
        <f>IF(F127="","",IF(LEN(SUBSTITUTE(SUBSTITUTE(SUBSTITUTE(SUBSTITUTE(F127,"+507",""),"-",""),"(",""),")",""))=8,"Válido","Revisar"))</f>
        <v/>
      </c>
      <c r="O127" s="7" t="inlineStr">
        <is>
          <t>Confirmado — proyecto de Empresas Bern. Teléfono y correo de administración públicos y verificados.</t>
        </is>
      </c>
    </row>
    <row r="128">
      <c r="A128" s="6">
        <f>IF(B128="","",ROW()-1)</f>
        <v/>
      </c>
      <c r="B128" s="7" t="inlineStr">
        <is>
          <t>PH Casa Bella</t>
        </is>
      </c>
      <c r="C128" s="7" t="inlineStr">
        <is>
          <t>PH/Residencial</t>
        </is>
      </c>
      <c r="D128" s="7" t="inlineStr">
        <is>
          <t>Parque Lefevre</t>
        </is>
      </c>
      <c r="E128" s="7" t="inlineStr">
        <is>
          <t>Calle María Herrera, Parque Lefevre, Panamá</t>
        </is>
      </c>
      <c r="F128" s="7" t="inlineStr"/>
      <c r="G128" s="7" t="inlineStr"/>
      <c r="H128" s="7" t="inlineStr"/>
      <c r="I128" s="7" t="n"/>
      <c r="J128" t="inlineStr">
        <is>
          <t>No</t>
        </is>
      </c>
      <c r="K128" s="7" t="inlineStr">
        <is>
          <t>Sin verificar</t>
        </is>
      </c>
      <c r="L128" s="8">
        <f>IF(B128="","",IF(COUNTIFS($B$2:B128,B128,$D$2:D128,D128)&gt;1,"SI","NO"))</f>
        <v/>
      </c>
      <c r="M128" s="8">
        <f>IF(G128="","",IF(AND(ISNUMBER(SEARCH("@",G128)),ISNUMBER(SEARCH(".",G128,SEARCH("@",G128))),LEN(G128)-LEN(SUBSTITUTE(G128,"@",""))=1,MID(G128,SEARCH("@",G128)+1,1)&lt;&gt;".",RIGHT(G128,1)&lt;&gt;"."),"Válido","Revisar"))</f>
        <v/>
      </c>
      <c r="N128" s="8">
        <f>IF(F128="","",IF(LEN(SUBSTITUTE(SUBSTITUTE(SUBSTITUTE(SUBSTITUTE(F128,"+507",""),"-",""),"(",""),")",""))=8,"Válido","Revisar"))</f>
        <v/>
      </c>
      <c r="O128" s="7" t="inlineStr">
        <is>
          <t>No se encontró registro público (web) de este PH con ese nombre y dirección — dato aportado directamente por Ani. Verificar en persona, sin fuente online que lo confirme.</t>
        </is>
      </c>
    </row>
    <row r="129">
      <c r="A129" s="6">
        <f>IF(B129="","",ROW()-1)</f>
        <v/>
      </c>
      <c r="B129" s="7" t="inlineStr">
        <is>
          <t>Casablanca</t>
        </is>
      </c>
      <c r="C129" s="7" t="inlineStr">
        <is>
          <t>PH/Residencial</t>
        </is>
      </c>
      <c r="D129" s="7" t="inlineStr">
        <is>
          <t>Santa María</t>
        </is>
      </c>
      <c r="E129" s="7" t="inlineStr">
        <is>
          <t>Santa María, Costa del Este, Panamá (dirección exacta no confirmada)</t>
        </is>
      </c>
      <c r="F129" s="7" t="inlineStr"/>
      <c r="G129" s="7" t="inlineStr"/>
      <c r="H129" s="7" t="inlineStr"/>
      <c r="I129" s="7" t="n"/>
      <c r="J129" t="inlineStr">
        <is>
          <t>No</t>
        </is>
      </c>
      <c r="K129" s="7" t="inlineStr">
        <is>
          <t>Sin verificar</t>
        </is>
      </c>
      <c r="L129" s="8">
        <f>IF(B129="","",IF(COUNTIFS($B$2:B129,B129,$D$2:D129,D129)&gt;1,"SI","NO"))</f>
        <v/>
      </c>
      <c r="M129" s="8">
        <f>IF(G129="","",IF(AND(ISNUMBER(SEARCH("@",G129)),ISNUMBER(SEARCH(".",G129,SEARCH("@",G129))),LEN(G129)-LEN(SUBSTITUTE(G129,"@",""))=1,MID(G129,SEARCH("@",G129)+1,1)&lt;&gt;".",RIGHT(G129,1)&lt;&gt;"."),"Válido","Revisar"))</f>
        <v/>
      </c>
      <c r="N129" s="8">
        <f>IF(F129="","",IF(LEN(SUBSTITUTE(SUBSTITUTE(SUBSTITUTE(SUBSTITUTE(F129,"+507",""),"-",""),"(",""),")",""))=8,"Válido","Revisar"))</f>
        <v/>
      </c>
      <c r="O129" s="7" t="inlineStr">
        <is>
          <t>No se encontró un PH residencial con ese nombre en Santa María — la búsqueda solo devolvió un restaurante y un distrito de negocios de nombre similar en Casco Viejo. Verificar en persona.</t>
        </is>
      </c>
    </row>
    <row r="130">
      <c r="A130" s="6">
        <f>IF(B130="","",ROW()-1)</f>
        <v/>
      </c>
      <c r="B130" s="7" t="inlineStr">
        <is>
          <t>Residencial Antigua</t>
        </is>
      </c>
      <c r="C130" s="7" t="inlineStr">
        <is>
          <t>PH/Residencial</t>
        </is>
      </c>
      <c r="D130" s="7" t="inlineStr">
        <is>
          <t>Costa del Este</t>
        </is>
      </c>
      <c r="E130" s="7" t="inlineStr">
        <is>
          <t>Av. Marina del Norte, Costa del Este, Panamá</t>
        </is>
      </c>
      <c r="F130" s="7" t="inlineStr"/>
      <c r="G130" s="7" t="inlineStr"/>
      <c r="H130" s="7" t="inlineStr"/>
      <c r="I130" s="7" t="n"/>
      <c r="J130" t="inlineStr">
        <is>
          <t>No</t>
        </is>
      </c>
      <c r="K130" s="7" t="inlineStr">
        <is>
          <t>Sin verificar</t>
        </is>
      </c>
      <c r="L130" s="8">
        <f>IF(B130="","",IF(COUNTIFS($B$2:B130,B130,$D$2:D130,D130)&gt;1,"SI","NO"))</f>
        <v/>
      </c>
      <c r="M130" s="8">
        <f>IF(G130="","",IF(AND(ISNUMBER(SEARCH("@",G130)),ISNUMBER(SEARCH(".",G130,SEARCH("@",G130))),LEN(G130)-LEN(SUBSTITUTE(G130,"@",""))=1,MID(G130,SEARCH("@",G130)+1,1)&lt;&gt;".",RIGHT(G130,1)&lt;&gt;"."),"Válido","Revisar"))</f>
        <v/>
      </c>
      <c r="N130" s="8">
        <f>IF(F130="","",IF(LEN(SUBSTITUTE(SUBSTITUTE(SUBSTITUTE(SUBSTITUTE(F130,"+507",""),"-",""),"(",""),")",""))=8,"Válido","Revisar"))</f>
        <v/>
      </c>
      <c r="O130" s="7" t="inlineStr">
        <is>
          <t>Desarrollo residencial exclusivo con seguridad 24/7. Solo se encontró contacto de agencias inmobiliarias que venden ahí, no de la administración del PH. Verificar en persona.</t>
        </is>
      </c>
    </row>
    <row r="131">
      <c r="A131" s="6">
        <f>IF(B131="","",ROW()-1)</f>
        <v/>
      </c>
      <c r="B131" s="7" t="inlineStr">
        <is>
          <t>Residencial Royal Pacific</t>
        </is>
      </c>
      <c r="C131" s="7" t="inlineStr">
        <is>
          <t>PH/Residencial</t>
        </is>
      </c>
      <c r="D131" s="7" t="inlineStr">
        <is>
          <t>Costa del Este</t>
        </is>
      </c>
      <c r="E131" s="7" t="inlineStr">
        <is>
          <t>Costa del Este (Juan Díaz), Panamá</t>
        </is>
      </c>
      <c r="F131" s="7" t="inlineStr"/>
      <c r="G131" s="7" t="inlineStr"/>
      <c r="H131" s="7" t="inlineStr"/>
      <c r="I131" s="7" t="n"/>
      <c r="J131" t="inlineStr">
        <is>
          <t>No</t>
        </is>
      </c>
      <c r="K131" s="7" t="inlineStr">
        <is>
          <t>Sin verificar</t>
        </is>
      </c>
      <c r="L131" s="8">
        <f>IF(B131="","",IF(COUNTIFS($B$2:B131,B131,$D$2:D131,D131)&gt;1,"SI","NO"))</f>
        <v/>
      </c>
      <c r="M131" s="8">
        <f>IF(G131="","",IF(AND(ISNUMBER(SEARCH("@",G131)),ISNUMBER(SEARCH(".",G131,SEARCH("@",G131))),LEN(G131)-LEN(SUBSTITUTE(G131,"@",""))=1,MID(G131,SEARCH("@",G131)+1,1)&lt;&gt;".",RIGHT(G131,1)&lt;&gt;"."),"Válido","Revisar"))</f>
        <v/>
      </c>
      <c r="N131" s="8">
        <f>IF(F131="","",IF(LEN(SUBSTITUTE(SUBSTITUTE(SUBSTITUTE(SUBSTITUTE(F131,"+507",""),"-",""),"(",""),")",""))=8,"Válido","Revisar"))</f>
        <v/>
      </c>
      <c r="O131" s="7" t="inlineStr">
        <is>
          <t>Ojo: existe otro 'Royal Pacific' distinto en Punta Pacífica/San Francisco (torre de 24 pisos) — no confundir. Este es el de Costa del Este/Juan Díaz. Sin teléfono de administración público, solo contacto de agencia inmobiliaria (Grupo Tribaldos).</t>
        </is>
      </c>
    </row>
    <row r="132">
      <c r="B132" t="inlineStr">
        <is>
          <t>PH Terranova</t>
        </is>
      </c>
      <c r="C132" t="inlineStr">
        <is>
          <t>PH/Residencial</t>
        </is>
      </c>
      <c r="D132" t="inlineStr">
        <is>
          <t>El Cangrejo</t>
        </is>
      </c>
      <c r="E132" t="inlineStr">
        <is>
          <t>Calle Enrique Greenzier, El Cangrejo, Panamá</t>
        </is>
      </c>
      <c r="J132" t="inlineStr">
        <is>
          <t>No</t>
        </is>
      </c>
      <c r="K132" t="inlineStr">
        <is>
          <t>Sin verificar</t>
        </is>
      </c>
      <c r="O132" t="inlineStr">
        <is>
          <t>Torre de 25 pisos, construida en 2000. Sin teléfono de administración público, solo contactos de agencias inmobiliarias (Padeco Realty, Alpha Group).</t>
        </is>
      </c>
    </row>
    <row r="133">
      <c r="A133">
        <f>IF(B133="","",ROW()-1)</f>
        <v/>
      </c>
      <c r="B133" t="inlineStr">
        <is>
          <t>PH Clayton Park I</t>
        </is>
      </c>
      <c r="C133" t="inlineStr">
        <is>
          <t>PH/Residencial</t>
        </is>
      </c>
      <c r="D133" t="inlineStr">
        <is>
          <t>Clayton</t>
        </is>
      </c>
      <c r="E133" t="inlineStr">
        <is>
          <t>Clayton (Corregimiento Ancón), Panamá</t>
        </is>
      </c>
      <c r="J133" t="inlineStr">
        <is>
          <t>No</t>
        </is>
      </c>
      <c r="K133" t="inlineStr">
        <is>
          <t>Sin verificar</t>
        </is>
      </c>
      <c r="L133">
        <f>IF(B133="","",IF(COUNTIFS($B$2:B133,B133,$D$2:D133,D133)&gt;1,"SI","NO"))</f>
        <v/>
      </c>
      <c r="M133">
        <f>IF(G133="","",IF(AND(ISNUMBER(SEARCH("@",G133)),ISNUMBER(SEARCH(".",G133,SEARCH("@",G133))),LEN(G133)-LEN(SUBSTITUTE(G133,"@",""))=1,MID(G133,SEARCH("@",G133)+1,1)&lt;&gt;".",RIGHT(G133,1)&lt;&gt;"."),"Válido","Revisar"))</f>
        <v/>
      </c>
      <c r="N133">
        <f>IF(F133="","",IF(LEN(SUBSTITUTE(SUBSTITUTE(SUBSTITUTE(SUBSTITUTE(F133,"+507",""),"-",""),"(",""),")",""))=8,"Válido","Revisar"))</f>
        <v/>
      </c>
      <c r="O133" t="inlineStr">
        <is>
          <t>Comunidad residencial en Clayton. Sin teléfono de administración público — verificar en persona.</t>
        </is>
      </c>
    </row>
    <row r="134">
      <c r="A134">
        <f>IF(B134="","",ROW()-1)</f>
        <v/>
      </c>
      <c r="B134" t="inlineStr">
        <is>
          <t>PH Clayton Park II</t>
        </is>
      </c>
      <c r="C134" t="inlineStr">
        <is>
          <t>PH/Residencial</t>
        </is>
      </c>
      <c r="D134" t="inlineStr">
        <is>
          <t>Clayton</t>
        </is>
      </c>
      <c r="E134" t="inlineStr">
        <is>
          <t>Calle al Hospital, Clayton, Panamá</t>
        </is>
      </c>
      <c r="F134" t="inlineStr">
        <is>
          <t>304-9830 / 301-0083</t>
        </is>
      </c>
      <c r="H134" t="inlineStr">
        <is>
          <t>gproviviendan.com</t>
        </is>
      </c>
      <c r="J134" t="inlineStr">
        <is>
          <t>No</t>
        </is>
      </c>
      <c r="K134" t="inlineStr">
        <is>
          <t>Verificado por teléfono</t>
        </is>
      </c>
      <c r="L134">
        <f>IF(B134="","",IF(COUNTIFS($B$2:B134,B134,$D$2:D134,D134)&gt;1,"SI","NO"))</f>
        <v/>
      </c>
      <c r="M134">
        <f>IF(G134="","",IF(AND(ISNUMBER(SEARCH("@",G134)),ISNUMBER(SEARCH(".",G134,SEARCH("@",G134))),LEN(G134)-LEN(SUBSTITUTE(G134,"@",""))=1,MID(G134,SEARCH("@",G134)+1,1)&lt;&gt;".",RIGHT(G134,1)&lt;&gt;"."),"Válido","Revisar"))</f>
        <v/>
      </c>
      <c r="N134">
        <f>IF(F134="","",IF(LEN(SUBSTITUTE(SUBSTITUTE(SUBSTITUTE(SUBSTITUTE(F134,"+507",""),"-",""),"(",""),")",""))=8,"Válido","Revisar"))</f>
        <v/>
      </c>
      <c r="O134" t="inlineStr">
        <is>
          <t>Confirmado — desarrollo de Grupo Provivienda. 3 torres de 17 pisos. 304-9830 = oficina administrativa, 301-0083 = oficina de ventas.</t>
        </is>
      </c>
    </row>
    <row r="135">
      <c r="A135">
        <f>IF(B135="","",ROW()-1)</f>
        <v/>
      </c>
      <c r="B135" t="inlineStr">
        <is>
          <t>Clayton Tower</t>
        </is>
      </c>
      <c r="C135" t="inlineStr">
        <is>
          <t>PH/Residencial</t>
        </is>
      </c>
      <c r="D135" t="inlineStr">
        <is>
          <t>Clayton</t>
        </is>
      </c>
      <c r="E135" t="inlineStr">
        <is>
          <t>Clayton (Corregimiento Ancón), Panamá</t>
        </is>
      </c>
      <c r="J135" t="inlineStr">
        <is>
          <t>No</t>
        </is>
      </c>
      <c r="K135" t="inlineStr">
        <is>
          <t>Sin verificar</t>
        </is>
      </c>
      <c r="L135">
        <f>IF(B135="","",IF(COUNTIFS($B$2:B135,B135,$D$2:D135,D135)&gt;1,"SI","NO"))</f>
        <v/>
      </c>
      <c r="M135">
        <f>IF(G135="","",IF(AND(ISNUMBER(SEARCH("@",G135)),ISNUMBER(SEARCH(".",G135,SEARCH("@",G135))),LEN(G135)-LEN(SUBSTITUTE(G135,"@",""))=1,MID(G135,SEARCH("@",G135)+1,1)&lt;&gt;".",RIGHT(G135,1)&lt;&gt;"."),"Válido","Revisar"))</f>
        <v/>
      </c>
      <c r="N135">
        <f>IF(F135="","",IF(LEN(SUBSTITUTE(SUBSTITUTE(SUBSTITUTE(SUBSTITUTE(F135,"+507",""),"-",""),"(",""),")",""))=8,"Válido","Revisar"))</f>
        <v/>
      </c>
      <c r="O135" t="inlineStr">
        <is>
          <t>Mencionado en listados inmobiliarios de la zona, información muy escasa. Sin dirección exacta ni teléfono confirmados — verificar en persona.</t>
        </is>
      </c>
    </row>
    <row r="136">
      <c r="A136">
        <f>IF(B136="","",ROW()-1)</f>
        <v/>
      </c>
      <c r="B136" t="inlineStr">
        <is>
          <t>Clayton Village</t>
        </is>
      </c>
      <c r="C136" t="inlineStr">
        <is>
          <t>PH/Residencial</t>
        </is>
      </c>
      <c r="D136" t="inlineStr">
        <is>
          <t>Clayton</t>
        </is>
      </c>
      <c r="E136" t="inlineStr">
        <is>
          <t>Clayton (Corregimiento Ancón), Panamá</t>
        </is>
      </c>
      <c r="J136" t="inlineStr">
        <is>
          <t>No</t>
        </is>
      </c>
      <c r="K136" t="inlineStr">
        <is>
          <t>Sin verificar</t>
        </is>
      </c>
      <c r="L136">
        <f>IF(B136="","",IF(COUNTIFS($B$2:B136,B136,$D$2:D136,D136)&gt;1,"SI","NO"))</f>
        <v/>
      </c>
      <c r="M136">
        <f>IF(G136="","",IF(AND(ISNUMBER(SEARCH("@",G136)),ISNUMBER(SEARCH(".",G136,SEARCH("@",G136))),LEN(G136)-LEN(SUBSTITUTE(G136,"@",""))=1,MID(G136,SEARCH("@",G136)+1,1)&lt;&gt;".",RIGHT(G136,1)&lt;&gt;"."),"Válido","Revisar"))</f>
        <v/>
      </c>
      <c r="N136">
        <f>IF(F136="","",IF(LEN(SUBSTITUTE(SUBSTITUTE(SUBSTITUTE(SUBSTITUTE(F136,"+507",""),"-",""),"(",""),")",""))=8,"Válido","Revisar"))</f>
        <v/>
      </c>
      <c r="O136" t="inlineStr">
        <is>
          <t>Comunidad residencial cerrada con seguridad 24h. Sin teléfono de administración público — verificar en persona.</t>
        </is>
      </c>
    </row>
    <row r="137">
      <c r="A137">
        <f>IF(B137="","",ROW()-1)</f>
        <v/>
      </c>
      <c r="B137" t="inlineStr">
        <is>
          <t>Residencial Veranda</t>
        </is>
      </c>
      <c r="C137" t="inlineStr">
        <is>
          <t>PH/Residencial</t>
        </is>
      </c>
      <c r="D137" t="inlineStr">
        <is>
          <t>Costa del Este</t>
        </is>
      </c>
      <c r="E137" t="inlineStr">
        <is>
          <t>Calle R.36, Costa del Este, Panamá</t>
        </is>
      </c>
      <c r="J137" t="inlineStr">
        <is>
          <t>No</t>
        </is>
      </c>
      <c r="K137" t="inlineStr">
        <is>
          <t>Sin verificar</t>
        </is>
      </c>
      <c r="L137">
        <f>IF(B137="","",IF(COUNTIFS($B$2:B137,B137,$D$2:D137,D137)&gt;1,"SI","NO"))</f>
        <v/>
      </c>
      <c r="M137">
        <f>IF(G137="","",IF(AND(ISNUMBER(SEARCH("@",G137)),ISNUMBER(SEARCH(".",G137,SEARCH("@",G137))),LEN(G137)-LEN(SUBSTITUTE(G137,"@",""))=1,MID(G137,SEARCH("@",G137)+1,1)&lt;&gt;".",RIGHT(G137,1)&lt;&gt;"."),"Válido","Revisar"))</f>
        <v/>
      </c>
      <c r="N137">
        <f>IF(F137="","",IF(LEN(SUBSTITUTE(SUBSTITUTE(SUBSTITUTE(SUBSTITUTE(F137,"+507",""),"-",""),"(",""),")",""))=8,"Válido","Revisar"))</f>
        <v/>
      </c>
      <c r="O137" t="inlineStr">
        <is>
          <t>Confirmado como desarrollo en Costa del Este. Sin teléfono de administración público, solo agencias inmobiliarias — verificar en persona.</t>
        </is>
      </c>
    </row>
    <row r="138">
      <c r="A138">
        <f>IF(B138="","",ROW()-1)</f>
        <v/>
      </c>
      <c r="B138" t="inlineStr">
        <is>
          <t>Residencial Costa Azul</t>
        </is>
      </c>
      <c r="C138" t="inlineStr">
        <is>
          <t>PH/Residencial</t>
        </is>
      </c>
      <c r="D138" t="inlineStr">
        <is>
          <t>Costa del Este</t>
        </is>
      </c>
      <c r="E138" t="inlineStr">
        <is>
          <t>Costa del Este, Panamá</t>
        </is>
      </c>
      <c r="J138" t="inlineStr">
        <is>
          <t>No</t>
        </is>
      </c>
      <c r="K138" t="inlineStr">
        <is>
          <t>Sin verificar</t>
        </is>
      </c>
      <c r="L138">
        <f>IF(B138="","",IF(COUNTIFS($B$2:B138,B138,$D$2:D138,D138)&gt;1,"SI","NO"))</f>
        <v/>
      </c>
      <c r="M138">
        <f>IF(G138="","",IF(AND(ISNUMBER(SEARCH("@",G138)),ISNUMBER(SEARCH(".",G138,SEARCH("@",G138))),LEN(G138)-LEN(SUBSTITUTE(G138,"@",""))=1,MID(G138,SEARCH("@",G138)+1,1)&lt;&gt;".",RIGHT(G138,1)&lt;&gt;"."),"Válido","Revisar"))</f>
        <v/>
      </c>
      <c r="N138">
        <f>IF(F138="","",IF(LEN(SUBSTITUTE(SUBSTITUTE(SUBSTITUTE(SUBSTITUTE(F138,"+507",""),"-",""),"(",""),")",""))=8,"Válido","Revisar"))</f>
        <v/>
      </c>
      <c r="O138" t="inlineStr">
        <is>
          <t>Residencial con seguridad 24/7 en el corazón de Costa del Este. Sin teléfono de administración público, solo agencias inmobiliarias — verificar en persona.</t>
        </is>
      </c>
    </row>
    <row r="139">
      <c r="A139">
        <f>IF(B139="","",ROW()-1)</f>
        <v/>
      </c>
      <c r="L139">
        <f>IF(B139="","",IF(COUNTIFS($B$2:B139,B139,$D$2:D139,D139)&gt;1,"SI","NO"))</f>
        <v/>
      </c>
      <c r="M139">
        <f>IF(G139="","",IF(AND(ISNUMBER(SEARCH("@",G139)),ISNUMBER(SEARCH(".",G139,SEARCH("@",G139))),LEN(G139)-LEN(SUBSTITUTE(G139,"@",""))=1,MID(G139,SEARCH("@",G139)+1,1)&lt;&gt;".",RIGHT(G139,1)&lt;&gt;"."),"Válido","Revisar"))</f>
        <v/>
      </c>
      <c r="N139">
        <f>IF(F139="","",IF(LEN(SUBSTITUTE(SUBSTITUTE(SUBSTITUTE(SUBSTITUTE(F139,"+507",""),"-",""),"(",""),")",""))=8,"Válido","Revisar"))</f>
        <v/>
      </c>
    </row>
    <row r="140">
      <c r="A140">
        <f>IF(B140="","",ROW()-1)</f>
        <v/>
      </c>
      <c r="L140">
        <f>IF(B140="","",IF(COUNTIFS($B$2:B140,B140,$D$2:D140,D140)&gt;1,"SI","NO"))</f>
        <v/>
      </c>
      <c r="M140">
        <f>IF(G140="","",IF(AND(ISNUMBER(SEARCH("@",G140)),ISNUMBER(SEARCH(".",G140,SEARCH("@",G140))),LEN(G140)-LEN(SUBSTITUTE(G140,"@",""))=1,MID(G140,SEARCH("@",G140)+1,1)&lt;&gt;".",RIGHT(G140,1)&lt;&gt;"."),"Válido","Revisar"))</f>
        <v/>
      </c>
      <c r="N140">
        <f>IF(F140="","",IF(LEN(SUBSTITUTE(SUBSTITUTE(SUBSTITUTE(SUBSTITUTE(F140,"+507",""),"-",""),"(",""),")",""))=8,"Válido","Revisar"))</f>
        <v/>
      </c>
    </row>
    <row r="141">
      <c r="A141">
        <f>IF(B141="","",ROW()-1)</f>
        <v/>
      </c>
      <c r="L141">
        <f>IF(B141="","",IF(COUNTIFS($B$2:B141,B141,$D$2:D141,D141)&gt;1,"SI","NO"))</f>
        <v/>
      </c>
      <c r="M141">
        <f>IF(G141="","",IF(AND(ISNUMBER(SEARCH("@",G141)),ISNUMBER(SEARCH(".",G141,SEARCH("@",G141))),LEN(G141)-LEN(SUBSTITUTE(G141,"@",""))=1,MID(G141,SEARCH("@",G141)+1,1)&lt;&gt;".",RIGHT(G141,1)&lt;&gt;"."),"Válido","Revisar"))</f>
        <v/>
      </c>
      <c r="N141">
        <f>IF(F141="","",IF(LEN(SUBSTITUTE(SUBSTITUTE(SUBSTITUTE(SUBSTITUTE(F141,"+507",""),"-",""),"(",""),")",""))=8,"Válido","Revisar"))</f>
        <v/>
      </c>
    </row>
    <row r="142">
      <c r="A142">
        <f>IF(B142="","",ROW()-1)</f>
        <v/>
      </c>
      <c r="L142">
        <f>IF(B142="","",IF(COUNTIFS($B$2:B142,B142,$D$2:D142,D142)&gt;1,"SI","NO"))</f>
        <v/>
      </c>
      <c r="M142">
        <f>IF(G142="","",IF(AND(ISNUMBER(SEARCH("@",G142)),ISNUMBER(SEARCH(".",G142,SEARCH("@",G142))),LEN(G142)-LEN(SUBSTITUTE(G142,"@",""))=1,MID(G142,SEARCH("@",G142)+1,1)&lt;&gt;".",RIGHT(G142,1)&lt;&gt;"."),"Válido","Revisar"))</f>
        <v/>
      </c>
      <c r="N142">
        <f>IF(F142="","",IF(LEN(SUBSTITUTE(SUBSTITUTE(SUBSTITUTE(SUBSTITUTE(F142,"+507",""),"-",""),"(",""),")",""))=8,"Válido","Revisar"))</f>
        <v/>
      </c>
    </row>
    <row r="143">
      <c r="A143">
        <f>IF(B143="","",ROW()-1)</f>
        <v/>
      </c>
      <c r="L143">
        <f>IF(B143="","",IF(COUNTIFS($B$2:B143,B143,$D$2:D143,D143)&gt;1,"SI","NO"))</f>
        <v/>
      </c>
      <c r="M143">
        <f>IF(G143="","",IF(AND(ISNUMBER(SEARCH("@",G143)),ISNUMBER(SEARCH(".",G143,SEARCH("@",G143))),LEN(G143)-LEN(SUBSTITUTE(G143,"@",""))=1,MID(G143,SEARCH("@",G143)+1,1)&lt;&gt;".",RIGHT(G143,1)&lt;&gt;"."),"Válido","Revisar"))</f>
        <v/>
      </c>
      <c r="N143">
        <f>IF(F143="","",IF(LEN(SUBSTITUTE(SUBSTITUTE(SUBSTITUTE(SUBSTITUTE(F143,"+507",""),"-",""),"(",""),")",""))=8,"Válido","Revisar"))</f>
        <v/>
      </c>
    </row>
    <row r="144">
      <c r="A144">
        <f>IF(B144="","",ROW()-1)</f>
        <v/>
      </c>
      <c r="L144">
        <f>IF(B144="","",IF(COUNTIFS($B$2:B144,B144,$D$2:D144,D144)&gt;1,"SI","NO"))</f>
        <v/>
      </c>
      <c r="M144">
        <f>IF(G144="","",IF(AND(ISNUMBER(SEARCH("@",G144)),ISNUMBER(SEARCH(".",G144,SEARCH("@",G144))),LEN(G144)-LEN(SUBSTITUTE(G144,"@",""))=1,MID(G144,SEARCH("@",G144)+1,1)&lt;&gt;".",RIGHT(G144,1)&lt;&gt;"."),"Válido","Revisar"))</f>
        <v/>
      </c>
      <c r="N144">
        <f>IF(F144="","",IF(LEN(SUBSTITUTE(SUBSTITUTE(SUBSTITUTE(SUBSTITUTE(F144,"+507",""),"-",""),"(",""),")",""))=8,"Válido","Revisar"))</f>
        <v/>
      </c>
    </row>
    <row r="145">
      <c r="A145">
        <f>IF(B145="","",ROW()-1)</f>
        <v/>
      </c>
      <c r="L145">
        <f>IF(B145="","",IF(COUNTIFS($B$2:B145,B145,$D$2:D145,D145)&gt;1,"SI","NO"))</f>
        <v/>
      </c>
      <c r="M145">
        <f>IF(G145="","",IF(AND(ISNUMBER(SEARCH("@",G145)),ISNUMBER(SEARCH(".",G145,SEARCH("@",G145))),LEN(G145)-LEN(SUBSTITUTE(G145,"@",""))=1,MID(G145,SEARCH("@",G145)+1,1)&lt;&gt;".",RIGHT(G145,1)&lt;&gt;"."),"Válido","Revisar"))</f>
        <v/>
      </c>
      <c r="N145">
        <f>IF(F145="","",IF(LEN(SUBSTITUTE(SUBSTITUTE(SUBSTITUTE(SUBSTITUTE(F145,"+507",""),"-",""),"(",""),")",""))=8,"Válido","Revisar"))</f>
        <v/>
      </c>
    </row>
    <row r="146">
      <c r="A146">
        <f>IF(B146="","",ROW()-1)</f>
        <v/>
      </c>
      <c r="L146">
        <f>IF(B146="","",IF(COUNTIFS($B$2:B146,B146,$D$2:D146,D146)&gt;1,"SI","NO"))</f>
        <v/>
      </c>
      <c r="M146">
        <f>IF(G146="","",IF(AND(ISNUMBER(SEARCH("@",G146)),ISNUMBER(SEARCH(".",G146,SEARCH("@",G146))),LEN(G146)-LEN(SUBSTITUTE(G146,"@",""))=1,MID(G146,SEARCH("@",G146)+1,1)&lt;&gt;".",RIGHT(G146,1)&lt;&gt;"."),"Válido","Revisar"))</f>
        <v/>
      </c>
      <c r="N146">
        <f>IF(F146="","",IF(LEN(SUBSTITUTE(SUBSTITUTE(SUBSTITUTE(SUBSTITUTE(F146,"+507",""),"-",""),"(",""),")",""))=8,"Válido","Revisar"))</f>
        <v/>
      </c>
    </row>
    <row r="147">
      <c r="A147">
        <f>IF(B147="","",ROW()-1)</f>
        <v/>
      </c>
      <c r="L147">
        <f>IF(B147="","",IF(COUNTIFS($B$2:B147,B147,$D$2:D147,D147)&gt;1,"SI","NO"))</f>
        <v/>
      </c>
      <c r="M147">
        <f>IF(G147="","",IF(AND(ISNUMBER(SEARCH("@",G147)),ISNUMBER(SEARCH(".",G147,SEARCH("@",G147))),LEN(G147)-LEN(SUBSTITUTE(G147,"@",""))=1,MID(G147,SEARCH("@",G147)+1,1)&lt;&gt;".",RIGHT(G147,1)&lt;&gt;"."),"Válido","Revisar"))</f>
        <v/>
      </c>
      <c r="N147">
        <f>IF(F147="","",IF(LEN(SUBSTITUTE(SUBSTITUTE(SUBSTITUTE(SUBSTITUTE(F147,"+507",""),"-",""),"(",""),")",""))=8,"Válido","Revisar"))</f>
        <v/>
      </c>
    </row>
    <row r="148">
      <c r="A148">
        <f>IF(B148="","",ROW()-1)</f>
        <v/>
      </c>
      <c r="L148">
        <f>IF(B148="","",IF(COUNTIFS($B$2:B148,B148,$D$2:D148,D148)&gt;1,"SI","NO"))</f>
        <v/>
      </c>
      <c r="M148">
        <f>IF(G148="","",IF(AND(ISNUMBER(SEARCH("@",G148)),ISNUMBER(SEARCH(".",G148,SEARCH("@",G148))),LEN(G148)-LEN(SUBSTITUTE(G148,"@",""))=1,MID(G148,SEARCH("@",G148)+1,1)&lt;&gt;".",RIGHT(G148,1)&lt;&gt;"."),"Válido","Revisar"))</f>
        <v/>
      </c>
      <c r="N148">
        <f>IF(F148="","",IF(LEN(SUBSTITUTE(SUBSTITUTE(SUBSTITUTE(SUBSTITUTE(F148,"+507",""),"-",""),"(",""),")",""))=8,"Válido","Revisar"))</f>
        <v/>
      </c>
    </row>
    <row r="149">
      <c r="A149">
        <f>IF(B149="","",ROW()-1)</f>
        <v/>
      </c>
      <c r="L149">
        <f>IF(B149="","",IF(COUNTIFS($B$2:B149,B149,$D$2:D149,D149)&gt;1,"SI","NO"))</f>
        <v/>
      </c>
      <c r="M149">
        <f>IF(G149="","",IF(AND(ISNUMBER(SEARCH("@",G149)),ISNUMBER(SEARCH(".",G149,SEARCH("@",G149))),LEN(G149)-LEN(SUBSTITUTE(G149,"@",""))=1,MID(G149,SEARCH("@",G149)+1,1)&lt;&gt;".",RIGHT(G149,1)&lt;&gt;"."),"Válido","Revisar"))</f>
        <v/>
      </c>
      <c r="N149">
        <f>IF(F149="","",IF(LEN(SUBSTITUTE(SUBSTITUTE(SUBSTITUTE(SUBSTITUTE(F149,"+507",""),"-",""),"(",""),")",""))=8,"Válido","Revisar"))</f>
        <v/>
      </c>
    </row>
    <row r="150">
      <c r="A150">
        <f>IF(B150="","",ROW()-1)</f>
        <v/>
      </c>
      <c r="L150">
        <f>IF(B150="","",IF(COUNTIFS($B$2:B150,B150,$D$2:D150,D150)&gt;1,"SI","NO"))</f>
        <v/>
      </c>
      <c r="M150">
        <f>IF(G150="","",IF(AND(ISNUMBER(SEARCH("@",G150)),ISNUMBER(SEARCH(".",G150,SEARCH("@",G150))),LEN(G150)-LEN(SUBSTITUTE(G150,"@",""))=1,MID(G150,SEARCH("@",G150)+1,1)&lt;&gt;".",RIGHT(G150,1)&lt;&gt;"."),"Válido","Revisar"))</f>
        <v/>
      </c>
      <c r="N150">
        <f>IF(F150="","",IF(LEN(SUBSTITUTE(SUBSTITUTE(SUBSTITUTE(SUBSTITUTE(F150,"+507",""),"-",""),"(",""),")",""))=8,"Válido","Revisar"))</f>
        <v/>
      </c>
    </row>
    <row r="151">
      <c r="A151">
        <f>IF(B151="","",ROW()-1)</f>
        <v/>
      </c>
      <c r="L151">
        <f>IF(B151="","",IF(COUNTIFS($B$2:B151,B151,$D$2:D151,D151)&gt;1,"SI","NO"))</f>
        <v/>
      </c>
      <c r="M151">
        <f>IF(G151="","",IF(AND(ISNUMBER(SEARCH("@",G151)),ISNUMBER(SEARCH(".",G151,SEARCH("@",G151))),LEN(G151)-LEN(SUBSTITUTE(G151,"@",""))=1,MID(G151,SEARCH("@",G151)+1,1)&lt;&gt;".",RIGHT(G151,1)&lt;&gt;"."),"Válido","Revisar"))</f>
        <v/>
      </c>
      <c r="N151">
        <f>IF(F151="","",IF(LEN(SUBSTITUTE(SUBSTITUTE(SUBSTITUTE(SUBSTITUTE(F151,"+507",""),"-",""),"(",""),")",""))=8,"Válido","Revisar"))</f>
        <v/>
      </c>
    </row>
    <row r="152">
      <c r="A152">
        <f>IF(B152="","",ROW()-1)</f>
        <v/>
      </c>
      <c r="L152">
        <f>IF(B152="","",IF(COUNTIFS($B$2:B152,B152,$D$2:D152,D152)&gt;1,"SI","NO"))</f>
        <v/>
      </c>
      <c r="M152">
        <f>IF(G152="","",IF(AND(ISNUMBER(SEARCH("@",G152)),ISNUMBER(SEARCH(".",G152,SEARCH("@",G152))),LEN(G152)-LEN(SUBSTITUTE(G152,"@",""))=1,MID(G152,SEARCH("@",G152)+1,1)&lt;&gt;".",RIGHT(G152,1)&lt;&gt;"."),"Válido","Revisar"))</f>
        <v/>
      </c>
      <c r="N152">
        <f>IF(F152="","",IF(LEN(SUBSTITUTE(SUBSTITUTE(SUBSTITUTE(SUBSTITUTE(F152,"+507",""),"-",""),"(",""),")",""))=8,"Válido","Revisar"))</f>
        <v/>
      </c>
    </row>
    <row r="153">
      <c r="A153">
        <f>IF(B153="","",ROW()-1)</f>
        <v/>
      </c>
      <c r="L153">
        <f>IF(B153="","",IF(COUNTIFS($B$2:B153,B153,$D$2:D153,D153)&gt;1,"SI","NO"))</f>
        <v/>
      </c>
      <c r="M153">
        <f>IF(G153="","",IF(AND(ISNUMBER(SEARCH("@",G153)),ISNUMBER(SEARCH(".",G153,SEARCH("@",G153))),LEN(G153)-LEN(SUBSTITUTE(G153,"@",""))=1,MID(G153,SEARCH("@",G153)+1,1)&lt;&gt;".",RIGHT(G153,1)&lt;&gt;"."),"Válido","Revisar"))</f>
        <v/>
      </c>
      <c r="N153">
        <f>IF(F153="","",IF(LEN(SUBSTITUTE(SUBSTITUTE(SUBSTITUTE(SUBSTITUTE(F153,"+507",""),"-",""),"(",""),")",""))=8,"Válido","Revisar"))</f>
        <v/>
      </c>
    </row>
    <row r="154">
      <c r="A154">
        <f>IF(B154="","",ROW()-1)</f>
        <v/>
      </c>
      <c r="L154">
        <f>IF(B154="","",IF(COUNTIFS($B$2:B154,B154,$D$2:D154,D154)&gt;1,"SI","NO"))</f>
        <v/>
      </c>
      <c r="M154">
        <f>IF(G154="","",IF(AND(ISNUMBER(SEARCH("@",G154)),ISNUMBER(SEARCH(".",G154,SEARCH("@",G154))),LEN(G154)-LEN(SUBSTITUTE(G154,"@",""))=1,MID(G154,SEARCH("@",G154)+1,1)&lt;&gt;".",RIGHT(G154,1)&lt;&gt;"."),"Válido","Revisar"))</f>
        <v/>
      </c>
      <c r="N154">
        <f>IF(F154="","",IF(LEN(SUBSTITUTE(SUBSTITUTE(SUBSTITUTE(SUBSTITUTE(F154,"+507",""),"-",""),"(",""),")",""))=8,"Válido","Revisar"))</f>
        <v/>
      </c>
    </row>
    <row r="155">
      <c r="A155">
        <f>IF(B155="","",ROW()-1)</f>
        <v/>
      </c>
      <c r="L155">
        <f>IF(B155="","",IF(COUNTIFS($B$2:B155,B155,$D$2:D155,D155)&gt;1,"SI","NO"))</f>
        <v/>
      </c>
      <c r="M155">
        <f>IF(G155="","",IF(AND(ISNUMBER(SEARCH("@",G155)),ISNUMBER(SEARCH(".",G155,SEARCH("@",G155))),LEN(G155)-LEN(SUBSTITUTE(G155,"@",""))=1,MID(G155,SEARCH("@",G155)+1,1)&lt;&gt;".",RIGHT(G155,1)&lt;&gt;"."),"Válido","Revisar"))</f>
        <v/>
      </c>
      <c r="N155">
        <f>IF(F155="","",IF(LEN(SUBSTITUTE(SUBSTITUTE(SUBSTITUTE(SUBSTITUTE(F155,"+507",""),"-",""),"(",""),")",""))=8,"Válido","Revisar"))</f>
        <v/>
      </c>
    </row>
    <row r="156">
      <c r="A156">
        <f>IF(B156="","",ROW()-1)</f>
        <v/>
      </c>
      <c r="L156">
        <f>IF(B156="","",IF(COUNTIFS($B$2:B156,B156,$D$2:D156,D156)&gt;1,"SI","NO"))</f>
        <v/>
      </c>
      <c r="M156">
        <f>IF(G156="","",IF(AND(ISNUMBER(SEARCH("@",G156)),ISNUMBER(SEARCH(".",G156,SEARCH("@",G156))),LEN(G156)-LEN(SUBSTITUTE(G156,"@",""))=1,MID(G156,SEARCH("@",G156)+1,1)&lt;&gt;".",RIGHT(G156,1)&lt;&gt;"."),"Válido","Revisar"))</f>
        <v/>
      </c>
      <c r="N156">
        <f>IF(F156="","",IF(LEN(SUBSTITUTE(SUBSTITUTE(SUBSTITUTE(SUBSTITUTE(F156,"+507",""),"-",""),"(",""),")",""))=8,"Válido","Revisar"))</f>
        <v/>
      </c>
    </row>
    <row r="157">
      <c r="A157">
        <f>IF(B157="","",ROW()-1)</f>
        <v/>
      </c>
      <c r="L157">
        <f>IF(B157="","",IF(COUNTIFS($B$2:B157,B157,$D$2:D157,D157)&gt;1,"SI","NO"))</f>
        <v/>
      </c>
      <c r="M157">
        <f>IF(G157="","",IF(AND(ISNUMBER(SEARCH("@",G157)),ISNUMBER(SEARCH(".",G157,SEARCH("@",G157))),LEN(G157)-LEN(SUBSTITUTE(G157,"@",""))=1,MID(G157,SEARCH("@",G157)+1,1)&lt;&gt;".",RIGHT(G157,1)&lt;&gt;"."),"Válido","Revisar"))</f>
        <v/>
      </c>
      <c r="N157">
        <f>IF(F157="","",IF(LEN(SUBSTITUTE(SUBSTITUTE(SUBSTITUTE(SUBSTITUTE(F157,"+507",""),"-",""),"(",""),")",""))=8,"Válido","Revisar"))</f>
        <v/>
      </c>
    </row>
    <row r="158">
      <c r="A158">
        <f>IF(B158="","",ROW()-1)</f>
        <v/>
      </c>
      <c r="L158">
        <f>IF(B158="","",IF(COUNTIFS($B$2:B158,B158,$D$2:D158,D158)&gt;1,"SI","NO"))</f>
        <v/>
      </c>
      <c r="M158">
        <f>IF(G158="","",IF(AND(ISNUMBER(SEARCH("@",G158)),ISNUMBER(SEARCH(".",G158,SEARCH("@",G158))),LEN(G158)-LEN(SUBSTITUTE(G158,"@",""))=1,MID(G158,SEARCH("@",G158)+1,1)&lt;&gt;".",RIGHT(G158,1)&lt;&gt;"."),"Válido","Revisar"))</f>
        <v/>
      </c>
      <c r="N158">
        <f>IF(F158="","",IF(LEN(SUBSTITUTE(SUBSTITUTE(SUBSTITUTE(SUBSTITUTE(F158,"+507",""),"-",""),"(",""),")",""))=8,"Válido","Revisar"))</f>
        <v/>
      </c>
    </row>
    <row r="159">
      <c r="A159">
        <f>IF(B159="","",ROW()-1)</f>
        <v/>
      </c>
      <c r="L159">
        <f>IF(B159="","",IF(COUNTIFS($B$2:B159,B159,$D$2:D159,D159)&gt;1,"SI","NO"))</f>
        <v/>
      </c>
      <c r="M159">
        <f>IF(G159="","",IF(AND(ISNUMBER(SEARCH("@",G159)),ISNUMBER(SEARCH(".",G159,SEARCH("@",G159))),LEN(G159)-LEN(SUBSTITUTE(G159,"@",""))=1,MID(G159,SEARCH("@",G159)+1,1)&lt;&gt;".",RIGHT(G159,1)&lt;&gt;"."),"Válido","Revisar"))</f>
        <v/>
      </c>
      <c r="N159">
        <f>IF(F159="","",IF(LEN(SUBSTITUTE(SUBSTITUTE(SUBSTITUTE(SUBSTITUTE(F159,"+507",""),"-",""),"(",""),")",""))=8,"Válido","Revisar"))</f>
        <v/>
      </c>
    </row>
    <row r="160">
      <c r="A160">
        <f>IF(B160="","",ROW()-1)</f>
        <v/>
      </c>
      <c r="L160">
        <f>IF(B160="","",IF(COUNTIFS($B$2:B160,B160,$D$2:D160,D160)&gt;1,"SI","NO"))</f>
        <v/>
      </c>
      <c r="M160">
        <f>IF(G160="","",IF(AND(ISNUMBER(SEARCH("@",G160)),ISNUMBER(SEARCH(".",G160,SEARCH("@",G160))),LEN(G160)-LEN(SUBSTITUTE(G160,"@",""))=1,MID(G160,SEARCH("@",G160)+1,1)&lt;&gt;".",RIGHT(G160,1)&lt;&gt;"."),"Válido","Revisar"))</f>
        <v/>
      </c>
      <c r="N160">
        <f>IF(F160="","",IF(LEN(SUBSTITUTE(SUBSTITUTE(SUBSTITUTE(SUBSTITUTE(F160,"+507",""),"-",""),"(",""),")",""))=8,"Válido","Revisar"))</f>
        <v/>
      </c>
    </row>
    <row r="161">
      <c r="A161">
        <f>IF(B161="","",ROW()-1)</f>
        <v/>
      </c>
      <c r="L161">
        <f>IF(B161="","",IF(COUNTIFS($B$2:B161,B161,$D$2:D161,D161)&gt;1,"SI","NO"))</f>
        <v/>
      </c>
      <c r="M161">
        <f>IF(G161="","",IF(AND(ISNUMBER(SEARCH("@",G161)),ISNUMBER(SEARCH(".",G161,SEARCH("@",G161))),LEN(G161)-LEN(SUBSTITUTE(G161,"@",""))=1,MID(G161,SEARCH("@",G161)+1,1)&lt;&gt;".",RIGHT(G161,1)&lt;&gt;"."),"Válido","Revisar"))</f>
        <v/>
      </c>
      <c r="N161">
        <f>IF(F161="","",IF(LEN(SUBSTITUTE(SUBSTITUTE(SUBSTITUTE(SUBSTITUTE(F161,"+507",""),"-",""),"(",""),")",""))=8,"Válido","Revisar"))</f>
        <v/>
      </c>
    </row>
    <row r="162">
      <c r="A162">
        <f>IF(B162="","",ROW()-1)</f>
        <v/>
      </c>
      <c r="L162">
        <f>IF(B162="","",IF(COUNTIFS($B$2:B162,B162,$D$2:D162,D162)&gt;1,"SI","NO"))</f>
        <v/>
      </c>
      <c r="M162">
        <f>IF(G162="","",IF(AND(ISNUMBER(SEARCH("@",G162)),ISNUMBER(SEARCH(".",G162,SEARCH("@",G162))),LEN(G162)-LEN(SUBSTITUTE(G162,"@",""))=1,MID(G162,SEARCH("@",G162)+1,1)&lt;&gt;".",RIGHT(G162,1)&lt;&gt;"."),"Válido","Revisar"))</f>
        <v/>
      </c>
      <c r="N162">
        <f>IF(F162="","",IF(LEN(SUBSTITUTE(SUBSTITUTE(SUBSTITUTE(SUBSTITUTE(F162,"+507",""),"-",""),"(",""),")",""))=8,"Válido","Revisar"))</f>
        <v/>
      </c>
    </row>
    <row r="163">
      <c r="B163" s="9" t="inlineStr">
        <is>
          <t>Leyenda: celdas amarillas = tú las llenas a mano. Columnas K, L, M se calculan solas. No edites la columna ID ni K/L/M.</t>
        </is>
      </c>
      <c r="J163" t="inlineStr">
        <is>
          <t>No</t>
        </is>
      </c>
    </row>
  </sheetData>
  <autoFilter ref="A1:O164"/>
  <conditionalFormatting sqref="K2:K131">
    <cfRule type="cellIs" priority="1" operator="equal" dxfId="0">
      <formula>"SI"</formula>
    </cfRule>
    <cfRule type="cellIs" priority="2" operator="equal" dxfId="1">
      <formula>"NO"</formula>
    </cfRule>
  </conditionalFormatting>
  <conditionalFormatting sqref="L2:L131">
    <cfRule type="cellIs" priority="3" operator="equal" dxfId="2">
      <formula>"Revisar"</formula>
    </cfRule>
    <cfRule type="cellIs" priority="4" operator="equal" dxfId="1">
      <formula>"Válido"</formula>
    </cfRule>
  </conditionalFormatting>
  <conditionalFormatting sqref="M2:M131">
    <cfRule type="cellIs" priority="5" operator="equal" dxfId="2">
      <formula>"Revisar"</formula>
    </cfRule>
    <cfRule type="cellIs" priority="6" operator="equal" dxfId="1">
      <formula>"Válido"</formula>
    </cfRule>
  </conditionalFormatting>
  <dataValidations count="4">
    <dataValidation sqref="C2:C164" showDropDown="0" showInputMessage="0" showErrorMessage="0" allowBlank="1" errorTitle="Entrada inválida" error="Selecciona un valor de la lista" type="list">
      <formula1>"Hotel,PH/Residencial,Oficina,Clínica,Negocio general,Otro"</formula1>
    </dataValidation>
    <dataValidation sqref="D2:D164" showDropDown="0" showInputMessage="0" showErrorMessage="0" allowBlank="1" errorTitle="Entrada inválida" error="Selecciona un valor de la lista" type="list">
      <formula1>"Costa del Este,Santa María,Versalles PH1,Reserva de Versalles,Versalles PH2,Don Bosco,Vía Brasil,Avenida Balboa,Punta Pacífica,Vía España,Condado del Rey,Obarrio / Bella Vista,Parque Lefevre,Marbella,Coco del Mar,San Francisco,El Cangrejo,Pedregal,Clayton"</formula1>
    </dataValidation>
    <dataValidation sqref="J2:J164" showDropDown="0" showInputMessage="0" showErrorMessage="0" allowBlank="1" errorTitle="Entrada inválida" error="Selecciona un valor de la lista" type="list">
      <formula1>"Sí,No"</formula1>
    </dataValidation>
    <dataValidation sqref="K2:K164" showDropDown="0" showInputMessage="0" showErrorMessage="0" allowBlank="1" errorTitle="Entrada inválida" error="Selecciona un valor de la lista" type="list">
      <formula1>"Sin verificar,Verificado por teléfono,Verificado en persona,Contactado,No responde,Cliente"</formula1>
    </dataValidation>
  </dataValidations>
  <pageMargins left="0.3" right="0.3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0" t="inlineStr">
        <is>
          <t>Resumen de Leads</t>
        </is>
      </c>
    </row>
    <row r="2">
      <c r="A2" s="11" t="inlineStr">
        <is>
          <t>Se actualiza automáticamente según la pestaña 'Leads'</t>
        </is>
      </c>
    </row>
    <row r="4">
      <c r="A4" s="12" t="inlineStr">
        <is>
          <t>Total de leads cargados</t>
        </is>
      </c>
      <c r="B4" s="13">
        <f>COUNTA(Leads!B2:B164)-1</f>
        <v/>
      </c>
    </row>
    <row r="5">
      <c r="A5" s="12" t="inlineStr">
        <is>
          <t>Leads duplicados detectados</t>
        </is>
      </c>
      <c r="B5" s="13">
        <f>COUNTIF(Leads!L2:L164,"SI")</f>
        <v/>
      </c>
    </row>
    <row r="6">
      <c r="A6" s="12" t="inlineStr">
        <is>
          <t>Correos con formato válido</t>
        </is>
      </c>
      <c r="B6" s="13">
        <f>COUNTIF(Leads!M2:M164,"Válido")</f>
        <v/>
      </c>
    </row>
    <row r="7">
      <c r="A7" s="12" t="inlineStr">
        <is>
          <t>Teléfonos con formato válido</t>
        </is>
      </c>
      <c r="B7" s="13">
        <f>COUNTIF(Leads!N2:N164,"Válido")</f>
        <v/>
      </c>
    </row>
    <row r="8">
      <c r="A8" s="12" t="inlineStr">
        <is>
          <t>Negocios ya visitados</t>
        </is>
      </c>
      <c r="B8" s="13">
        <f>COUNTIF(Leads!J2:J164,"Sí")</f>
        <v/>
      </c>
    </row>
    <row r="10">
      <c r="A10" s="14" t="inlineStr">
        <is>
          <t>Por zona</t>
        </is>
      </c>
    </row>
    <row r="11">
      <c r="A11" s="15" t="inlineStr">
        <is>
          <t>Costa del Este</t>
        </is>
      </c>
      <c r="B11" s="15">
        <f>COUNTIF(Leads!D2:D131,"Costa del Este")</f>
        <v/>
      </c>
    </row>
    <row r="12">
      <c r="A12" s="15" t="inlineStr">
        <is>
          <t>Santa María</t>
        </is>
      </c>
      <c r="B12" s="15">
        <f>COUNTIF(Leads!D2:D131,"Santa María")</f>
        <v/>
      </c>
    </row>
    <row r="13">
      <c r="A13" s="15" t="inlineStr">
        <is>
          <t>Versalles PH1</t>
        </is>
      </c>
      <c r="B13" s="15">
        <f>COUNTIF(Leads!D2:D131,"Versalles PH1")</f>
        <v/>
      </c>
    </row>
    <row r="14">
      <c r="A14" s="15" t="inlineStr">
        <is>
          <t>Reserva de Versalles</t>
        </is>
      </c>
      <c r="B14" s="15">
        <f>COUNTIF(Leads!D2:D131,"Reserva de Versalles")</f>
        <v/>
      </c>
    </row>
    <row r="15">
      <c r="A15" s="15" t="inlineStr">
        <is>
          <t>Versalles PH2</t>
        </is>
      </c>
      <c r="B15" s="15">
        <f>COUNTIF(Leads!D2:D131,"Versalles PH2")</f>
        <v/>
      </c>
    </row>
    <row r="16">
      <c r="A16" s="15" t="inlineStr">
        <is>
          <t>Don Bosco</t>
        </is>
      </c>
      <c r="B16" s="15">
        <f>COUNTIF(Leads!D2:D131,"Don Bosco")</f>
        <v/>
      </c>
    </row>
    <row r="17">
      <c r="A17" s="15" t="inlineStr">
        <is>
          <t>Vía Brasil</t>
        </is>
      </c>
      <c r="B17" s="15">
        <f>COUNTIF(Leads!D2:D131,"Vía Brasil")</f>
        <v/>
      </c>
    </row>
    <row r="18">
      <c r="A18" s="15" t="inlineStr">
        <is>
          <t>Avenida Balboa / Cinta Costera</t>
        </is>
      </c>
      <c r="B18" s="15">
        <f>COUNTIF(Leads!D2:D131,"Avenida Balboa / Cinta Costera")</f>
        <v/>
      </c>
    </row>
    <row r="19">
      <c r="A19" s="15" t="inlineStr">
        <is>
          <t>Otra zona Ciudad de Panamá</t>
        </is>
      </c>
      <c r="B19" s="15">
        <f>COUNTIF(Leads!D2:D131,"Otra zona Ciudad de Panamá")</f>
        <v/>
      </c>
    </row>
    <row r="21">
      <c r="A21" s="14" t="inlineStr">
        <is>
          <t>Por tipo de negocio</t>
        </is>
      </c>
    </row>
    <row r="22">
      <c r="A22" s="15" t="inlineStr">
        <is>
          <t>Hotel</t>
        </is>
      </c>
      <c r="B22" s="15">
        <f>COUNTIF(Leads!C2:C131,"Hotel")</f>
        <v/>
      </c>
    </row>
    <row r="23">
      <c r="A23" s="15" t="inlineStr">
        <is>
          <t>PH/Residencial</t>
        </is>
      </c>
      <c r="B23" s="15">
        <f>COUNTIF(Leads!C2:C131,"PH/Residencial")</f>
        <v/>
      </c>
    </row>
    <row r="24">
      <c r="A24" s="15" t="inlineStr">
        <is>
          <t>Oficina</t>
        </is>
      </c>
      <c r="B24" s="15">
        <f>COUNTIF(Leads!C2:C131,"Oficina")</f>
        <v/>
      </c>
    </row>
    <row r="25">
      <c r="A25" s="15" t="inlineStr">
        <is>
          <t>Clínica</t>
        </is>
      </c>
      <c r="B25" s="15">
        <f>COUNTIF(Leads!C2:C131,"Clínica")</f>
        <v/>
      </c>
    </row>
    <row r="26">
      <c r="A26" s="15" t="inlineStr">
        <is>
          <t>Negocio general</t>
        </is>
      </c>
      <c r="B26" s="15">
        <f>COUNTIF(Leads!C2:C131,"Negocio general")</f>
        <v/>
      </c>
    </row>
    <row r="27">
      <c r="A27" s="15" t="inlineStr">
        <is>
          <t>Otro</t>
        </is>
      </c>
      <c r="B27" s="15">
        <f>COUNTIF(Leads!C2:C131,"Otro")</f>
        <v/>
      </c>
    </row>
  </sheetData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4" customWidth="1" min="5" max="5"/>
    <col width="40" customWidth="1" min="6" max="6"/>
  </cols>
  <sheetData>
    <row r="1">
      <c r="A1" s="19" t="inlineStr">
        <is>
          <t>Negocios visitados</t>
        </is>
      </c>
    </row>
    <row r="2">
      <c r="A2" s="20" t="inlineStr">
        <is>
          <t>Esta lista se llena sola con los negocios marcados como 'Sí' en la columna Visita AC de la pestaña Leads.</t>
        </is>
      </c>
    </row>
    <row r="4">
      <c r="A4" s="21" t="inlineStr">
        <is>
          <t>Negocio</t>
        </is>
      </c>
      <c r="B4" s="21" t="inlineStr">
        <is>
          <t>Tipo</t>
        </is>
      </c>
      <c r="C4" s="21" t="inlineStr">
        <is>
          <t>Zona</t>
        </is>
      </c>
      <c r="D4" s="21" t="inlineStr">
        <is>
          <t>Teléfono</t>
        </is>
      </c>
      <c r="E4" s="21" t="inlineStr">
        <is>
          <t>Correo</t>
        </is>
      </c>
      <c r="F4" s="21" t="inlineStr">
        <is>
          <t>Notas</t>
        </is>
      </c>
    </row>
    <row r="5">
      <c r="A5">
        <f>IFERROR(FILTER(Leads!B2:B134, Leads!J2:J134="Sí"), "")</f>
        <v/>
      </c>
      <c r="B5">
        <f>IFERROR(FILTER(Leads!C2:C134, Leads!J2:J134="Sí"), "")</f>
        <v/>
      </c>
      <c r="C5">
        <f>IFERROR(FILTER(Leads!D2:D134, Leads!J2:J134="Sí"), "")</f>
        <v/>
      </c>
      <c r="D5">
        <f>IFERROR(FILTER(Leads!F2:F134, Leads!J2:J134="Sí"), "")</f>
        <v/>
      </c>
      <c r="E5">
        <f>IFERROR(FILTER(Leads!G2:G134, Leads!J2:J134="Sí"), "")</f>
        <v/>
      </c>
      <c r="F5">
        <f>IFERROR(FILTER(Leads!O2:O134, Leads!J2:J134="Sí"), "")</f>
        <v/>
      </c>
    </row>
    <row r="50">
      <c r="A50" s="20" t="inlineStr">
        <is>
          <t>Nota: si ves el error #¡NOMBRE? en vez de la lista, tu versión de Excel no soporta la función FILTER (necesitas Excel 365 o 2021+).</t>
        </is>
      </c>
    </row>
    <row r="51">
      <c r="A51" s="20" t="inlineStr">
        <is>
          <t>En ese caso: ve a la pestaña 'Leads', activa el Filtro automático en el encabezado, y filtra la columna 'Visita AC' = Sí.</t>
        </is>
      </c>
    </row>
  </sheetData>
  <mergeCells count="3">
    <mergeCell ref="A2:F2"/>
    <mergeCell ref="A51:F51"/>
    <mergeCell ref="A50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2026-07-21T07:23:22Z</dcterms:created>
  <dcterms:modified xmlns:dcterms="http://purl.org/dc/terms/" xmlns:xsi="http://www.w3.org/2001/XMLSchema-instance" xsi:type="dcterms:W3CDTF">2026-07-21T16:25:15Z</dcterms:modified>
</cp:coreProperties>
</file>